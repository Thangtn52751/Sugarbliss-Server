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ce340f71a4a1c8a4/Documents/SugarBliss/outputs/2026-09-22-sugarbliss-test-cases/"/>
    </mc:Choice>
  </mc:AlternateContent>
  <xr:revisionPtr revIDLastSave="10" documentId="11_F4182EEA8C449A1746AFF12D56343A09778A8214" xr6:coauthVersionLast="47" xr6:coauthVersionMax="47" xr10:uidLastSave="{D85AEEC9-EF08-4CF4-B0AF-66A041D8BD47}"/>
  <bookViews>
    <workbookView xWindow="-120" yWindow="-120" windowWidth="29040" windowHeight="15720" activeTab="2" xr2:uid="{00000000-000D-0000-FFFF-FFFF00000000}"/>
  </bookViews>
  <sheets>
    <sheet name="Tong quan" sheetId="1" r:id="rId1"/>
    <sheet name="API Test Cases" sheetId="2" r:id="rId2"/>
    <sheet name="UI Test C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E10" i="1"/>
  <c r="B10" i="1"/>
  <c r="E9" i="1"/>
  <c r="E8" i="1"/>
  <c r="E7" i="1"/>
  <c r="B7" i="1"/>
  <c r="B9" i="1" s="1"/>
  <c r="F10" i="1"/>
  <c r="F9" i="1"/>
  <c r="F8" i="1"/>
  <c r="B8" i="1"/>
  <c r="F7" i="1"/>
  <c r="B16" i="1" l="1"/>
  <c r="B15" i="1"/>
</calcChain>
</file>

<file path=xl/sharedStrings.xml><?xml version="1.0" encoding="utf-8"?>
<sst xmlns="http://schemas.openxmlformats.org/spreadsheetml/2006/main" count="1758" uniqueCount="832">
  <si>
    <t>SugarBliss Test Case Dashboard</t>
  </si>
  <si>
    <t>Phạm vi kiểm thử chức năng và API của project. Nguồn: SugarBliss codebase, rà soát ngày 2026-09-22.</t>
  </si>
  <si>
    <t>Chỉ số</t>
  </si>
  <si>
    <t>Giá trị</t>
  </si>
  <si>
    <t>Mức ưu tiên</t>
  </si>
  <si>
    <t>API</t>
  </si>
  <si>
    <t>UI</t>
  </si>
  <si>
    <t>Tổng API test case</t>
  </si>
  <si>
    <t>Critical</t>
  </si>
  <si>
    <t>Tổng UI test case</t>
  </si>
  <si>
    <t>High</t>
  </si>
  <si>
    <t>Tổng test case</t>
  </si>
  <si>
    <t>Medium</t>
  </si>
  <si>
    <t>Passed</t>
  </si>
  <si>
    <t>Low</t>
  </si>
  <si>
    <t>Failed</t>
  </si>
  <si>
    <t>Blocked</t>
  </si>
  <si>
    <t>In Progress</t>
  </si>
  <si>
    <t>Not Run</t>
  </si>
  <si>
    <t>Đã thực thi</t>
  </si>
  <si>
    <t>Pass rate</t>
  </si>
  <si>
    <t>Hướng dẫn sử dụng</t>
  </si>
  <si>
    <t>1. Chọn sheet API Test Cases hoặc UI Test Cases và lọc theo Module/Màn hình, Ưu tiên hoặc Trạng thái.</t>
  </si>
  <si>
    <t>2. Cập nhật Trạng thái bằng dropdown. Ghi response, lỗi hoặc bằng chứng vào Kết quả thực tế và Ghi chú.</t>
  </si>
  <si>
    <t>3. Với case tạo dữ liệu, dùng tài khoản/sản phẩm test và dọn dữ liệu sau khi hoàn tất.</t>
  </si>
  <si>
    <t>4. Không dùng dữ liệu khách hàng thật trong test OTP, email, avatar, contact hoặc special order.</t>
  </si>
  <si>
    <t>5. Dashboard tự cập nhật khi trạng thái trong hai sheet test case thay đổi.</t>
  </si>
  <si>
    <t>SugarBliss API Test Cases</t>
  </si>
  <si>
    <t>Phạm vi: Node.js/Express API, MongoDB, JWT, Nodemailer và upload file. Cập nhật Trạng thái, Kết quả thực tế, Người test và Ngày test khi thực thi.</t>
  </si>
  <si>
    <t>Test Case ID</t>
  </si>
  <si>
    <t>Module</t>
  </si>
  <si>
    <t>Chức năng / Kịch bản</t>
  </si>
  <si>
    <t>Method</t>
  </si>
  <si>
    <t>Endpoint</t>
  </si>
  <si>
    <t>Loại test</t>
  </si>
  <si>
    <t>Ưu tiên</t>
  </si>
  <si>
    <t>Điều kiện trước</t>
  </si>
  <si>
    <t>Dữ liệu test</t>
  </si>
  <si>
    <t>Các bước thực hiện</t>
  </si>
  <si>
    <t>HTTP mong đợi</t>
  </si>
  <si>
    <t>Kết quả mong đợi</t>
  </si>
  <si>
    <t>Trạng thái</t>
  </si>
  <si>
    <t>Kết quả thực tế</t>
  </si>
  <si>
    <t>Người test</t>
  </si>
  <si>
    <t>Ngày test</t>
  </si>
  <si>
    <t>Ghi chú</t>
  </si>
  <si>
    <t>API-001</t>
  </si>
  <si>
    <t>Health</t>
  </si>
  <si>
    <t>Kiểm tra server hoạt động</t>
  </si>
  <si>
    <t>GET</t>
  </si>
  <si>
    <t>/</t>
  </si>
  <si>
    <t>Positive</t>
  </si>
  <si>
    <t>Server đã khởi động</t>
  </si>
  <si>
    <t>Không có</t>
  </si>
  <si>
    <t>Gửi request GET đến server</t>
  </si>
  <si>
    <t>Trả message SugarBliss API is running và danh sách endpoint chính.</t>
  </si>
  <si>
    <t>API-002</t>
  </si>
  <si>
    <t>Route không tồn tại</t>
  </si>
  <si>
    <t>/api/not-found</t>
  </si>
  <si>
    <t>Negative</t>
  </si>
  <si>
    <t>Gửi request đến route không tồn tại</t>
  </si>
  <si>
    <t>Trả message API not found.</t>
  </si>
  <si>
    <t>API-003</t>
  </si>
  <si>
    <t>Auth</t>
  </si>
  <si>
    <t>Đăng ký tài khoản hợp lệ</t>
  </si>
  <si>
    <t>POST</t>
  </si>
  <si>
    <t>/api/users/register</t>
  </si>
  <si>
    <t>Email chưa tồn tại</t>
  </si>
  <si>
    <t>name, email hợp lệ, password &gt;= 6 ký tự</t>
  </si>
  <si>
    <t>Gửi JSON đăng ký</t>
  </si>
  <si>
    <t>Tạo user mới, trả thông tin user và JWT; response không chứa password.</t>
  </si>
  <si>
    <t>API-004</t>
  </si>
  <si>
    <t>Đăng ký thiếu trường bắt buộc</t>
  </si>
  <si>
    <t>Thiếu name hoặc email hoặc password</t>
  </si>
  <si>
    <t>Gửi lần lượt từng payload thiếu trường</t>
  </si>
  <si>
    <t>Không tạo user; trả thông báo yêu cầu name, email và password.</t>
  </si>
  <si>
    <t>API-005</t>
  </si>
  <si>
    <t>Đăng ký email sai định dạng</t>
  </si>
  <si>
    <t>Validation</t>
  </si>
  <si>
    <t>email=abc</t>
  </si>
  <si>
    <t>Gửi payload đăng ký</t>
  </si>
  <si>
    <t>Không tạo user; trả lỗi Invalid email address.</t>
  </si>
  <si>
    <t>API-006</t>
  </si>
  <si>
    <t>Đăng ký mật khẩu quá ngắn</t>
  </si>
  <si>
    <t>password=12345</t>
  </si>
  <si>
    <t>Không tạo user; báo mật khẩu tối thiểu 6 ký tự.</t>
  </si>
  <si>
    <t>API-007</t>
  </si>
  <si>
    <t>Đăng ký email trùng</t>
  </si>
  <si>
    <t>Email đã tồn tại</t>
  </si>
  <si>
    <t>Dùng email của user hiện có</t>
  </si>
  <si>
    <t>Gửi lại request đăng ký</t>
  </si>
  <si>
    <t>Không tạo bản ghi trùng; trả This email is already in use.</t>
  </si>
  <si>
    <t>API-008</t>
  </si>
  <si>
    <t>Đăng nhập thành công</t>
  </si>
  <si>
    <t>/api/users/login</t>
  </si>
  <si>
    <t>User active đã tồn tại</t>
  </si>
  <si>
    <t>Email và password đúng</t>
  </si>
  <si>
    <t>Gửi request đăng nhập</t>
  </si>
  <si>
    <t>Trả JWT và thông tin user; token dùng được với route bảo vệ.</t>
  </si>
  <si>
    <t>API-009</t>
  </si>
  <si>
    <t>Đăng nhập sai mật khẩu</t>
  </si>
  <si>
    <t>User đã tồn tại</t>
  </si>
  <si>
    <t>Password sai</t>
  </si>
  <si>
    <t>Không trả token; trả Invalid email or password.</t>
  </si>
  <si>
    <t>API-010</t>
  </si>
  <si>
    <t>Đăng nhập thiếu thông tin</t>
  </si>
  <si>
    <t>Thiếu email hoặc password</t>
  </si>
  <si>
    <t>Trả thông báo yêu cầu email và password.</t>
  </si>
  <si>
    <t>API-011</t>
  </si>
  <si>
    <t>Đăng nhập tài khoản bị khóa</t>
  </si>
  <si>
    <t>Security</t>
  </si>
  <si>
    <t>User có isActive=false</t>
  </si>
  <si>
    <t>Không trả token; báo tài khoản bị vô hiệu hóa.</t>
  </si>
  <si>
    <t>API-012</t>
  </si>
  <si>
    <t>Password không xuất hiện trong response</t>
  </si>
  <si>
    <t>User hợp lệ</t>
  </si>
  <si>
    <t>Đăng nhập và kiểm tra JSON</t>
  </si>
  <si>
    <t>Response không có password hoặc password hash.</t>
  </si>
  <si>
    <t>API-013</t>
  </si>
  <si>
    <t>OTP</t>
  </si>
  <si>
    <t>Gửi OTP quên mật khẩu</t>
  </si>
  <si>
    <t>/api/users/send-otp</t>
  </si>
  <si>
    <t>SMTP được cấu hình</t>
  </si>
  <si>
    <t>email hợp lệ, purpose=reset-password</t>
  </si>
  <si>
    <t>Gửi request và kiểm tra email</t>
  </si>
  <si>
    <t>OTP được tạo, email gửi thành công, response có thời gian hết hạn.</t>
  </si>
  <si>
    <t>API-014</t>
  </si>
  <si>
    <t>Gửi OTP với email không hợp lệ</t>
  </si>
  <si>
    <t>email=invalid</t>
  </si>
  <si>
    <t>Gửi request</t>
  </si>
  <si>
    <t>Không gửi mail; trả yêu cầu email hợp lệ.</t>
  </si>
  <si>
    <t>API-015</t>
  </si>
  <si>
    <t>Giới hạn gửi lại OTP</t>
  </si>
  <si>
    <t>Đã gửi OTP cùng email/purpose</t>
  </si>
  <si>
    <t>Gửi lại trong cooldown</t>
  </si>
  <si>
    <t>Gửi request lần hai ngay lập tức</t>
  </si>
  <si>
    <t>Không tạo OTP mới; yêu cầu chờ hết cooldown.</t>
  </si>
  <si>
    <t>API-016</t>
  </si>
  <si>
    <t>Xác thực OTP đúng</t>
  </si>
  <si>
    <t>/api/users/verify-otp</t>
  </si>
  <si>
    <t>OTP còn hạn</t>
  </si>
  <si>
    <t>email, otp đúng, purpose=reset-password</t>
  </si>
  <si>
    <t>Gửi request xác thực</t>
  </si>
  <si>
    <t>Trả resetToken và thời gian hết hạn reset token.</t>
  </si>
  <si>
    <t>API-017</t>
  </si>
  <si>
    <t>Xác thực OTP sai</t>
  </si>
  <si>
    <t>OTP đã được tạo</t>
  </si>
  <si>
    <t>otp sai</t>
  </si>
  <si>
    <t>Không trả resetToken; báo OTP invalid hoặc expired.</t>
  </si>
  <si>
    <t>API-018</t>
  </si>
  <si>
    <t>Xác thực OTP hết hạn</t>
  </si>
  <si>
    <t>Boundary</t>
  </si>
  <si>
    <t>OTP đã quá thời gian</t>
  </si>
  <si>
    <t>OTP cũ</t>
  </si>
  <si>
    <t>OTP bị từ chối và không thể tái sử dụng.</t>
  </si>
  <si>
    <t>API-019</t>
  </si>
  <si>
    <t>Vượt số lần thử OTP</t>
  </si>
  <si>
    <t>Nhập OTP sai liên tục</t>
  </si>
  <si>
    <t>Gửi sai đến OTP_MAX_ATTEMPTS rồi gửi lại</t>
  </si>
  <si>
    <t>OTP bị xóa; yêu cầu tạo OTP mới.</t>
  </si>
  <si>
    <t>API-020</t>
  </si>
  <si>
    <t>Reset password thành công</t>
  </si>
  <si>
    <t>/api/users/reset-password</t>
  </si>
  <si>
    <t>Có resetToken hợp lệ</t>
  </si>
  <si>
    <t>email, resetToken, password mới &gt;= 6 ký tự</t>
  </si>
  <si>
    <t>Gửi request rồi đăng nhập bằng mật khẩu mới</t>
  </si>
  <si>
    <t>Password được hash lại; đăng nhập bằng mật khẩu mới thành công.</t>
  </si>
  <si>
    <t>API-021</t>
  </si>
  <si>
    <t>Reset password với token sai</t>
  </si>
  <si>
    <t>resetToken giả</t>
  </si>
  <si>
    <t>Không đổi password; báo reset token invalid hoặc expired.</t>
  </si>
  <si>
    <t>API-022</t>
  </si>
  <si>
    <t>Reset token chỉ dùng một lần</t>
  </si>
  <si>
    <t>Đã reset thành công</t>
  </si>
  <si>
    <t>Dùng lại resetToken cũ</t>
  </si>
  <si>
    <t>Gửi request lần hai</t>
  </si>
  <si>
    <t>Token cũ bị từ chối.</t>
  </si>
  <si>
    <t>API-023</t>
  </si>
  <si>
    <t>Profile</t>
  </si>
  <si>
    <t>Lấy user hiện tại</t>
  </si>
  <si>
    <t>/api/users/me</t>
  </si>
  <si>
    <t>Có Bearer token hợp lệ</t>
  </si>
  <si>
    <t>Authorization: Bearer &lt;token&gt;</t>
  </si>
  <si>
    <t>Trả đúng user đang đăng nhập và không chứa password.</t>
  </si>
  <si>
    <t>API-024</t>
  </si>
  <si>
    <t>Truy cập profile không token</t>
  </si>
  <si>
    <t>Không có token</t>
  </si>
  <si>
    <t>Không gửi Authorization</t>
  </si>
  <si>
    <t>Trả Please log in.</t>
  </si>
  <si>
    <t>API-025</t>
  </si>
  <si>
    <t>Truy cập bằng token hết hạn</t>
  </si>
  <si>
    <t>Có token hết hạn/sai chữ ký</t>
  </si>
  <si>
    <t>Bearer token không hợp lệ</t>
  </si>
  <si>
    <t>Trả Invalid or expired token.</t>
  </si>
  <si>
    <t>API-026</t>
  </si>
  <si>
    <t>Lấy dữ liệu trang profile</t>
  </si>
  <si>
    <t>/api/users/me/profile</t>
  </si>
  <si>
    <t>User đã có orders/favorites</t>
  </si>
  <si>
    <t>Bearer token hợp lệ</t>
  </si>
  <si>
    <t>Trả user, tối đa 3 recentOrders và tối đa 4 favorites active.</t>
  </si>
  <si>
    <t>API-027</t>
  </si>
  <si>
    <t>Cập nhật thông tin cá nhân</t>
  </si>
  <si>
    <t>PUT</t>
  </si>
  <si>
    <t>Có token hợp lệ</t>
  </si>
  <si>
    <t>name, phone, address, dateOfBirth</t>
  </si>
  <si>
    <t>Gửi request rồi GET /me</t>
  </si>
  <si>
    <t>Các trường cho phép được cập nhật; email/role không bị thay đổi.</t>
  </si>
  <si>
    <t>API-028</t>
  </si>
  <si>
    <t>Không cho sửa role qua profile</t>
  </si>
  <si>
    <t>User customer có token</t>
  </si>
  <si>
    <t>role=admin</t>
  </si>
  <si>
    <t>Gửi request rồi đọc lại user</t>
  </si>
  <si>
    <t>Role vẫn là customer; trường ngoài whitelist bị bỏ qua.</t>
  </si>
  <si>
    <t>API-029</t>
  </si>
  <si>
    <t>Upload avatar hợp lệ</t>
  </si>
  <si>
    <t>PATCH</t>
  </si>
  <si>
    <t>/api/users/me/avatar</t>
  </si>
  <si>
    <t>multipart avatar là PNG/JPG &lt; 5 MB</t>
  </si>
  <si>
    <t>Gửi request multipart</t>
  </si>
  <si>
    <t>Avatar path được lưu và file truy cập được qua /uploads/avatars.</t>
  </si>
  <si>
    <t>API-030</t>
  </si>
  <si>
    <t>Upload avatar thiếu file</t>
  </si>
  <si>
    <t>Không có field avatar</t>
  </si>
  <si>
    <t>Gửi request multipart rỗng</t>
  </si>
  <si>
    <t>Không thay avatar; trả yêu cầu upload avatar.</t>
  </si>
  <si>
    <t>API-031</t>
  </si>
  <si>
    <t>Upload avatar không phải ảnh</t>
  </si>
  <si>
    <t>File .txt hoặc application/pdf</t>
  </si>
  <si>
    <t>Từ chối file không phải ảnh.</t>
  </si>
  <si>
    <t>API-032</t>
  </si>
  <si>
    <t>Upload avatar vượt 5 MB</t>
  </si>
  <si>
    <t>Ảnh &gt; 5 MB</t>
  </si>
  <si>
    <t>Từ chối file vượt giới hạn; avatar cũ giữ nguyên.</t>
  </si>
  <si>
    <t>API-033</t>
  </si>
  <si>
    <t>Product</t>
  </si>
  <si>
    <t>Lấy danh sách sản phẩm</t>
  </si>
  <si>
    <t>/api/products</t>
  </si>
  <si>
    <t>Mặc định page=1, limit=12</t>
  </si>
  <si>
    <t>Trả products active và pagination đúng.</t>
  </si>
  <si>
    <t>API-034</t>
  </si>
  <si>
    <t>Danh sách sản phẩm không token</t>
  </si>
  <si>
    <t>Không trả dữ liệu sản phẩm.</t>
  </si>
  <si>
    <t>API-035</t>
  </si>
  <si>
    <t>Lọc theo category</t>
  </si>
  <si>
    <t>/api/products?category=Cake</t>
  </si>
  <si>
    <t>Có nhiều category</t>
  </si>
  <si>
    <t>category=Cake</t>
  </si>
  <si>
    <t>Mọi product trả về có category Cake.</t>
  </si>
  <si>
    <t>API-036</t>
  </si>
  <si>
    <t>Tìm kiếm sản phẩm</t>
  </si>
  <si>
    <t>/api/products?search=birthday</t>
  </si>
  <si>
    <t>Có dữ liệu phù hợp</t>
  </si>
  <si>
    <t>search=birthday</t>
  </si>
  <si>
    <t>Kết quả khớp name, description hoặc category không phân biệt hoa thường.</t>
  </si>
  <si>
    <t>API-037</t>
  </si>
  <si>
    <t>Phân trang và giới hạn tối đa</t>
  </si>
  <si>
    <t>/api/products?page=2&amp;limit=200</t>
  </si>
  <si>
    <t>Có hơn 12 sản phẩm</t>
  </si>
  <si>
    <t>page=2, limit=200</t>
  </si>
  <si>
    <t>Limit được chặn tối đa 100; pagination total/pages đúng.</t>
  </si>
  <si>
    <t>API-038</t>
  </si>
  <si>
    <t>Lấy chi tiết sản phẩm</t>
  </si>
  <si>
    <t>/api/products/:id</t>
  </si>
  <si>
    <t>Product tồn tại</t>
  </si>
  <si>
    <t>productId hợp lệ</t>
  </si>
  <si>
    <t>Trả images dạng mảng, reviews có user name/avatar, ratingAverage và reviewCount.</t>
  </si>
  <si>
    <t>API-039</t>
  </si>
  <si>
    <t>Chi tiết sản phẩm không tồn tại</t>
  </si>
  <si>
    <t>Có token</t>
  </si>
  <si>
    <t>ObjectId hợp lệ nhưng không có dữ liệu</t>
  </si>
  <si>
    <t>Trả Product not found.</t>
  </si>
  <si>
    <t>API-040</t>
  </si>
  <si>
    <t>Chi tiết với id sai định dạng</t>
  </si>
  <si>
    <t>/api/products/not-an-id</t>
  </si>
  <si>
    <t>id không phải ObjectId</t>
  </si>
  <si>
    <t>Trả lỗi dữ liệu id, server không bị dừng.</t>
  </si>
  <si>
    <t>API-041</t>
  </si>
  <si>
    <t>Admin tạo product bằng URL ảnh</t>
  </si>
  <si>
    <t>Token admin</t>
  </si>
  <si>
    <t>JSON có images là mảng URL và đủ trường bắt buộc</t>
  </si>
  <si>
    <t>Tạo product, sinh slug và trả images[].</t>
  </si>
  <si>
    <t>API-042</t>
  </si>
  <si>
    <t>Admin upload nhiều ảnh product</t>
  </si>
  <si>
    <t>multipart với nhiều field images</t>
  </si>
  <si>
    <t>Lưu tối đa 10 ảnh vào /uploads/products và trả đúng thứ tự images.</t>
  </si>
  <si>
    <t>API-043</t>
  </si>
  <si>
    <t>Tạo product thiếu ảnh</t>
  </si>
  <si>
    <t>Không có images/image</t>
  </si>
  <si>
    <t>Không tạo product; báo cần ít nhất một ảnh.</t>
  </si>
  <si>
    <t>API-044</t>
  </si>
  <si>
    <t>Customer tạo product</t>
  </si>
  <si>
    <t>Token customer</t>
  </si>
  <si>
    <t>Payload hợp lệ</t>
  </si>
  <si>
    <t>Không tạo product; báo cần quyền admin.</t>
  </si>
  <si>
    <t>API-045</t>
  </si>
  <si>
    <t>Admin cập nhật product</t>
  </si>
  <si>
    <t>Token admin, product tồn tại</t>
  </si>
  <si>
    <t>price, stock, status, images</t>
  </si>
  <si>
    <t>Gửi request rồi GET detail</t>
  </si>
  <si>
    <t>Chỉ trường gửi lên thay đổi; dữ liệu khác được giữ nguyên.</t>
  </si>
  <si>
    <t>API-046</t>
  </si>
  <si>
    <t>Admin xóa product</t>
  </si>
  <si>
    <t>DELETE</t>
  </si>
  <si>
    <t>Token admin, product test tồn tại</t>
  </si>
  <si>
    <t>productId</t>
  </si>
  <si>
    <t>Gửi DELETE rồi GET detail</t>
  </si>
  <si>
    <t>Product bị xóa; lần GET sau trả 404.</t>
  </si>
  <si>
    <t>API-047</t>
  </si>
  <si>
    <t>Customer xóa product</t>
  </si>
  <si>
    <t>Gửi DELETE</t>
  </si>
  <si>
    <t>Product không bị xóa.</t>
  </si>
  <si>
    <t>API-048</t>
  </si>
  <si>
    <t>Review</t>
  </si>
  <si>
    <t>Tạo review hợp lệ</t>
  </si>
  <si>
    <t>/api/products/:id/reviews</t>
  </si>
  <si>
    <t>Token customer, chưa review product</t>
  </si>
  <si>
    <t>rating=5, comment hợp lệ</t>
  </si>
  <si>
    <t>Gửi request rồi GET product detail</t>
  </si>
  <si>
    <t>Review được lưu; reviewCount và ratingAverage cập nhật.</t>
  </si>
  <si>
    <t>API-049</t>
  </si>
  <si>
    <t>Rating ngoài khoảng</t>
  </si>
  <si>
    <t>rating=0 hoặc 6</t>
  </si>
  <si>
    <t>Không tạo review; rating phải là số nguyên 1-5.</t>
  </si>
  <si>
    <t>API-050</t>
  </si>
  <si>
    <t>Comment rỗng</t>
  </si>
  <si>
    <t>rating=5, comment chỉ có khoảng trắng</t>
  </si>
  <si>
    <t>Không tạo review; comment là bắt buộc.</t>
  </si>
  <si>
    <t>API-051</t>
  </si>
  <si>
    <t>Review trùng cùng user/product</t>
  </si>
  <si>
    <t>User đã review product</t>
  </si>
  <si>
    <t>Review thứ hai</t>
  </si>
  <si>
    <t>Không tạo bản ghi review thứ hai.</t>
  </si>
  <si>
    <t>API-052</t>
  </si>
  <si>
    <t>Sửa review của chính mình</t>
  </si>
  <si>
    <t>/api/products/:id/reviews/:reviewId</t>
  </si>
  <si>
    <t>Review thuộc user</t>
  </si>
  <si>
    <t>rating/comment mới</t>
  </si>
  <si>
    <t>Review và ratingAverage được cập nhật.</t>
  </si>
  <si>
    <t>API-053</t>
  </si>
  <si>
    <t>User sửa review của người khác</t>
  </si>
  <si>
    <t>Review thuộc user khác</t>
  </si>
  <si>
    <t>Gửi request bằng token customer</t>
  </si>
  <si>
    <t>Review giữ nguyên; báo chỉ được sửa review của mình.</t>
  </si>
  <si>
    <t>API-054</t>
  </si>
  <si>
    <t>Xóa review của chính mình</t>
  </si>
  <si>
    <t>reviewId</t>
  </si>
  <si>
    <t>Review bị xóa; reviewCount/ratingAverage tính lại.</t>
  </si>
  <si>
    <t>API-055</t>
  </si>
  <si>
    <t>Admin xóa review bất kỳ</t>
  </si>
  <si>
    <t>Token admin, review tồn tại</t>
  </si>
  <si>
    <t>reviewId của customer</t>
  </si>
  <si>
    <t>Admin xóa được review và tổng điểm được tính lại.</t>
  </si>
  <si>
    <t>API-056</t>
  </si>
  <si>
    <t>Favorite</t>
  </si>
  <si>
    <t>Lấy danh sách yêu thích</t>
  </si>
  <si>
    <t>/api/users/me/favorites</t>
  </si>
  <si>
    <t>User có favorites</t>
  </si>
  <si>
    <t>Bearer token</t>
  </si>
  <si>
    <t>Chỉ trả product active trong favorites.</t>
  </si>
  <si>
    <t>API-057</t>
  </si>
  <si>
    <t>Thêm sản phẩm yêu thích</t>
  </si>
  <si>
    <t>/api/users/me/favorites/:productId</t>
  </si>
  <si>
    <t>Gửi request rồi GET favorites</t>
  </si>
  <si>
    <t>Product xuất hiện một lần trong favorites.</t>
  </si>
  <si>
    <t>API-058</t>
  </si>
  <si>
    <t>Thêm favorite trùng</t>
  </si>
  <si>
    <t>Product đã có trong favorites</t>
  </si>
  <si>
    <t>Cùng productId</t>
  </si>
  <si>
    <t>Không tạo phần tử trùng trong mảng favorites.</t>
  </si>
  <si>
    <t>API-059</t>
  </si>
  <si>
    <t>Xóa favorite</t>
  </si>
  <si>
    <t>Product đang trong favorites</t>
  </si>
  <si>
    <t>Product bị loại khỏi favorites.</t>
  </si>
  <si>
    <t>API-060</t>
  </si>
  <si>
    <t>Cart</t>
  </si>
  <si>
    <t>Lấy cart</t>
  </si>
  <si>
    <t>/api/users/me/cart</t>
  </si>
  <si>
    <t>Trả mảng cart và populate product active.</t>
  </si>
  <si>
    <t>API-061</t>
  </si>
  <si>
    <t>Thêm product vào cart</t>
  </si>
  <si>
    <t>/api/users/me/cart/:productId</t>
  </si>
  <si>
    <t>Product active</t>
  </si>
  <si>
    <t>quantity=2</t>
  </si>
  <si>
    <t>Cart có product với quantity=2.</t>
  </si>
  <si>
    <t>API-062</t>
  </si>
  <si>
    <t>Thêm lại product tăng số lượng</t>
  </si>
  <si>
    <t>Product đã có quantity=2</t>
  </si>
  <si>
    <t>quantity=1</t>
  </si>
  <si>
    <t>Không thêm dòng trùng; quantity thành 3.</t>
  </si>
  <si>
    <t>API-063</t>
  </si>
  <si>
    <t>Thêm quantity không hợp lệ</t>
  </si>
  <si>
    <t>quantity=0, -1 hoặc 1.5</t>
  </si>
  <si>
    <t>Gửi từng request</t>
  </si>
  <si>
    <t>Cart không thay đổi; quantity phải là số nguyên dương.</t>
  </si>
  <si>
    <t>API-064</t>
  </si>
  <si>
    <t>Thêm product unavailable</t>
  </si>
  <si>
    <t>Product inactive/out-of-stock/không tồn tại</t>
  </si>
  <si>
    <t>Không thêm cart; báo product unavailable.</t>
  </si>
  <si>
    <t>API-065</t>
  </si>
  <si>
    <t>Cập nhật số lượng</t>
  </si>
  <si>
    <t>Product có trong cart</t>
  </si>
  <si>
    <t>quantity=4</t>
  </si>
  <si>
    <t>Quantity cập nhật thành 4.</t>
  </si>
  <si>
    <t>API-066</t>
  </si>
  <si>
    <t>Cập nhật product không trong cart</t>
  </si>
  <si>
    <t>Product không có trong cart</t>
  </si>
  <si>
    <t>Báo Product is not in your cart.</t>
  </si>
  <si>
    <t>API-067</t>
  </si>
  <si>
    <t>Xóa một product khỏi cart</t>
  </si>
  <si>
    <t>Dòng cart tương ứng bị xóa.</t>
  </si>
  <si>
    <t>API-068</t>
  </si>
  <si>
    <t>Xóa toàn bộ cart</t>
  </si>
  <si>
    <t>Cart có nhiều product</t>
  </si>
  <si>
    <t>Gửi request rồi GET cart</t>
  </si>
  <si>
    <t>Cart trở thành mảng rỗng.</t>
  </si>
  <si>
    <t>API-069</t>
  </si>
  <si>
    <t>Order</t>
  </si>
  <si>
    <t>Tạo order từ cart</t>
  </si>
  <si>
    <t>/api/orders</t>
  </si>
  <si>
    <t>Cart có product đủ tồn kho</t>
  </si>
  <si>
    <t>shippingAddress, paymentMethod=COD</t>
  </si>
  <si>
    <t>Gửi request không có items/productId</t>
  </si>
  <si>
    <t>Tạo order từ toàn bộ cart, tính subtotal/total, trừ stock và xóa cart.</t>
  </si>
  <si>
    <t>API-070</t>
  </si>
  <si>
    <t>Tạo order một product</t>
  </si>
  <si>
    <t>Product active, đủ stock</t>
  </si>
  <si>
    <t>productId, quantity=2</t>
  </si>
  <si>
    <t>Tạo order một item, lineTotal=price*2 và total đúng.</t>
  </si>
  <si>
    <t>API-071</t>
  </si>
  <si>
    <t>Tạo order nhiều product</t>
  </si>
  <si>
    <t>Các product active và đủ stock</t>
  </si>
  <si>
    <t>items gồm 2 product</t>
  </si>
  <si>
    <t>Mỗi item lưu snapshot name/image/price; subtotal bằng tổng lineTotal.</t>
  </si>
  <si>
    <t>API-072</t>
  </si>
  <si>
    <t>Tạo order khi cart rỗng</t>
  </si>
  <si>
    <t>Cart rỗng</t>
  </si>
  <si>
    <t>Không gửi productId/items</t>
  </si>
  <si>
    <t>Không tạo order; trả Your cart is empty.</t>
  </si>
  <si>
    <t>API-073</t>
  </si>
  <si>
    <t>Order vượt tồn kho</t>
  </si>
  <si>
    <t>Product có stock thấp</t>
  </si>
  <si>
    <t>quantity &gt; stock</t>
  </si>
  <si>
    <t>Không tạo order; stock không bị thay đổi một phần.</t>
  </si>
  <si>
    <t>API-074</t>
  </si>
  <si>
    <t>Order có item sai định dạng</t>
  </si>
  <si>
    <t>productId sai hoặc quantity &lt;= 0</t>
  </si>
  <si>
    <t>Không tạo order; trả lỗi item hợp lệ.</t>
  </si>
  <si>
    <t>API-075</t>
  </si>
  <si>
    <t>Payment method không hợp lệ</t>
  </si>
  <si>
    <t>Product đủ stock</t>
  </si>
  <si>
    <t>paymentMethod=Credit Card</t>
  </si>
  <si>
    <t>Không tạo order; stock được hoàn lại.</t>
  </si>
  <si>
    <t>API-076</t>
  </si>
  <si>
    <t>Không tin total từ client</t>
  </si>
  <si>
    <t>Gửi total=1 cùng productId</t>
  </si>
  <si>
    <t>Server bỏ qua total client và tính theo giá trong database.</t>
  </si>
  <si>
    <t>API-077</t>
  </si>
  <si>
    <t>Lấy lịch sử order</t>
  </si>
  <si>
    <t>/api/orders/my</t>
  </si>
  <si>
    <t>User có nhiều order</t>
  </si>
  <si>
    <t>Chỉ trả order của user, sắp xếp mới nhất trước.</t>
  </si>
  <si>
    <t>API-078</t>
  </si>
  <si>
    <t>Không xem order của user khác</t>
  </si>
  <si>
    <t>/api/orders/:id</t>
  </si>
  <si>
    <t>orderId thuộc user khác</t>
  </si>
  <si>
    <t>Token customer khác</t>
  </si>
  <si>
    <t>Không lộ thông tin order của người khác.</t>
  </si>
  <si>
    <t>API-079</t>
  </si>
  <si>
    <t>Hủy order đang xử lý</t>
  </si>
  <si>
    <t>/api/orders/:id/cancel</t>
  </si>
  <si>
    <t>Order thuộc user, status=In Progress</t>
  </si>
  <si>
    <t>orderId</t>
  </si>
  <si>
    <t>Gửi request rồi kiểm tra stock</t>
  </si>
  <si>
    <t>Status thành Cancelled và stock từng item được hoàn lại.</t>
  </si>
  <si>
    <t>API-080</t>
  </si>
  <si>
    <t>Hủy lại order đã hủy/giao</t>
  </si>
  <si>
    <t>Order không còn In Progress</t>
  </si>
  <si>
    <t>Không hoàn stock lần hai; báo chỉ hủy order đang xử lý.</t>
  </si>
  <si>
    <t>API-081</t>
  </si>
  <si>
    <t>Special Order</t>
  </si>
  <si>
    <t>Gửi special order pickup</t>
  </si>
  <si>
    <t>/api/special-orders</t>
  </si>
  <si>
    <t>SMTP hoặc jsonTransport hoạt động</t>
  </si>
  <si>
    <t>name, email, phone, deliveryOption=pickup, orderDetails</t>
  </si>
  <si>
    <t>Tạo requestNumber, status Pending; gửi email khách và admin.</t>
  </si>
  <si>
    <t>API-082</t>
  </si>
  <si>
    <t>Gửi special order delivery</t>
  </si>
  <si>
    <t>Đủ address1, city, zipCode</t>
  </si>
  <si>
    <t>Lưu đầy đủ địa chỉ và thông tin yêu cầu.</t>
  </si>
  <si>
    <t>API-083</t>
  </si>
  <si>
    <t>Thiếu trường bắt buộc</t>
  </si>
  <si>
    <t>Thiếu name/email/phone/deliveryOption/orderDetails</t>
  </si>
  <si>
    <t>Gửi từng payload</t>
  </si>
  <si>
    <t>Không tạo bản ghi và không gửi mail.</t>
  </si>
  <si>
    <t>API-084</t>
  </si>
  <si>
    <t>Delivery thiếu địa chỉ</t>
  </si>
  <si>
    <t>deliveryOption=shipping, thiếu address1/city/zipCode</t>
  </si>
  <si>
    <t>Không tạo request; yêu cầu đủ địa chỉ giao hàng.</t>
  </si>
  <si>
    <t>API-085</t>
  </si>
  <si>
    <t>Admin lấy danh sách</t>
  </si>
  <si>
    <t>/api/special-orders?status=Pending</t>
  </si>
  <si>
    <t>status=Pending</t>
  </si>
  <si>
    <t>Trả danh sách Pending có pagination.</t>
  </si>
  <si>
    <t>API-086</t>
  </si>
  <si>
    <t>Customer truy cập danh sách admin</t>
  </si>
  <si>
    <t>Không trả dữ liệu special order.</t>
  </si>
  <si>
    <t>API-087</t>
  </si>
  <si>
    <t>Admin cập nhật trạng thái</t>
  </si>
  <si>
    <t>/api/special-orders/:id</t>
  </si>
  <si>
    <t>Token admin, request tồn tại</t>
  </si>
  <si>
    <t>status=Reviewing, adminNote</t>
  </si>
  <si>
    <t>Status và adminNote được cập nhật.</t>
  </si>
  <si>
    <t>API-088</t>
  </si>
  <si>
    <t>Cập nhật status ngoài enum</t>
  </si>
  <si>
    <t>status=Unknown</t>
  </si>
  <si>
    <t>Không cập nhật; trả lỗi validation.</t>
  </si>
  <si>
    <t>API-089</t>
  </si>
  <si>
    <t>Nội dung HTML trong yêu cầu</t>
  </si>
  <si>
    <t>orderDetails chứa &lt;script&gt;</t>
  </si>
  <si>
    <t>Gửi request và kiểm tra email render</t>
  </si>
  <si>
    <t>Nội dung được coi là text trong email, không thực thi script.</t>
  </si>
  <si>
    <t>API-090</t>
  </si>
  <si>
    <t>Contact</t>
  </si>
  <si>
    <t>Gửi contact message hợp lệ</t>
  </si>
  <si>
    <t>/api/contact</t>
  </si>
  <si>
    <t>name, email, message</t>
  </si>
  <si>
    <t>Tạo ticketNumber, status New; gửi email chờ xử lý cho user và thông báo admin.</t>
  </si>
  <si>
    <t>API-091</t>
  </si>
  <si>
    <t>Contact thiếu trường</t>
  </si>
  <si>
    <t>Thiếu name/email/message</t>
  </si>
  <si>
    <t>Không tạo message và không gửi email.</t>
  </si>
  <si>
    <t>API-092</t>
  </si>
  <si>
    <t>Contact email sai</t>
  </si>
  <si>
    <t>Không lưu bản ghi; báo email không hợp lệ.</t>
  </si>
  <si>
    <t>API-093</t>
  </si>
  <si>
    <t>Contact message vượt 3000 ký tự</t>
  </si>
  <si>
    <t>message dài 3001 ký tự</t>
  </si>
  <si>
    <t>Không lưu bản ghi; báo giới hạn nội dung.</t>
  </si>
  <si>
    <t>API-094</t>
  </si>
  <si>
    <t>Admin lấy contact list</t>
  </si>
  <si>
    <t>/api/contact?status=New</t>
  </si>
  <si>
    <t>status=New</t>
  </si>
  <si>
    <t>Trả danh sách message New có pagination.</t>
  </si>
  <si>
    <t>API-095</t>
  </si>
  <si>
    <t>Customer truy cập contact admin</t>
  </si>
  <si>
    <t>Không lộ nội dung contact message.</t>
  </si>
  <si>
    <t>API-096</t>
  </si>
  <si>
    <t>Admin lấy contact detail</t>
  </si>
  <si>
    <t>/api/contact/:id</t>
  </si>
  <si>
    <t>Token admin, ticket tồn tại</t>
  </si>
  <si>
    <t>contactMessageId</t>
  </si>
  <si>
    <t>Trả đúng ticket và nội dung message.</t>
  </si>
  <si>
    <t>API-097</t>
  </si>
  <si>
    <t>status=In Progress, adminNote</t>
  </si>
  <si>
    <t>API-098</t>
  </si>
  <si>
    <t>XSS trong contact message</t>
  </si>
  <si>
    <t>message chứa HTML/script</t>
  </si>
  <si>
    <t>HTML được escape trong email, không thực thi script.</t>
  </si>
  <si>
    <t>SugarBliss UI Test Cases</t>
  </si>
  <si>
    <t>Phạm vi: các màn người dùng, component header/footer, responsive, tích hợp API và xử lý lỗi.</t>
  </si>
  <si>
    <t>Màn hình</t>
  </si>
  <si>
    <t>Browser / Viewport</t>
  </si>
  <si>
    <t>UI-001</t>
  </si>
  <si>
    <t>Login</t>
  </si>
  <si>
    <t>Hiển thị đúng bố cục</t>
  </si>
  <si>
    <t>Visual</t>
  </si>
  <si>
    <t>Mở /login</t>
  </si>
  <si>
    <t>Quan sát logo, ảnh cake1, form và liên kết</t>
  </si>
  <si>
    <t>Không chồng lấn; các thành phần đúng kích thước và giống thiết kế.</t>
  </si>
  <si>
    <t>Chrome 1366x768</t>
  </si>
  <si>
    <t>UI-002</t>
  </si>
  <si>
    <t>Functional</t>
  </si>
  <si>
    <t>Có tài khoản active</t>
  </si>
  <si>
    <t>Nhập email/password đúng và Submit</t>
  </si>
  <si>
    <t>Lưu token/user, chuyển đến /home.</t>
  </si>
  <si>
    <t>Desktop</t>
  </si>
  <si>
    <t>UI-003</t>
  </si>
  <si>
    <t>Hiển thị lỗi đăng nhập bằng tiếng Anh</t>
  </si>
  <si>
    <t>Có tài khoản</t>
  </si>
  <si>
    <t>Nhập mật khẩu sai</t>
  </si>
  <si>
    <t>Hiển thị lỗi tiếng Anh từ API, không chuyển trang.</t>
  </si>
  <si>
    <t>Desktop/Mobile</t>
  </si>
  <si>
    <t>UI-004</t>
  </si>
  <si>
    <t>Liên kết Forgot Password</t>
  </si>
  <si>
    <t>Navigation</t>
  </si>
  <si>
    <t>Nhấn Forgot Your Password?</t>
  </si>
  <si>
    <t>Chuyển đến /forgot-password.</t>
  </si>
  <si>
    <t>UI-005</t>
  </si>
  <si>
    <t>Register</t>
  </si>
  <si>
    <t>Đăng ký thành công</t>
  </si>
  <si>
    <t>Email mới</t>
  </si>
  <si>
    <t>Nhập email, password, confirm đúng và Submit</t>
  </si>
  <si>
    <t>Tạo tài khoản, lưu token và chuyển /home.</t>
  </si>
  <si>
    <t>UI-006</t>
  </si>
  <si>
    <t>Xác nhận mật khẩu không khớp</t>
  </si>
  <si>
    <t>Mở /register</t>
  </si>
  <si>
    <t>Nhập hai mật khẩu khác nhau</t>
  </si>
  <si>
    <t>Không gửi API; hiển thị lỗi tiếng Anh.</t>
  </si>
  <si>
    <t>UI-007</t>
  </si>
  <si>
    <t>Forgot Password</t>
  </si>
  <si>
    <t>Gửi OTP</t>
  </si>
  <si>
    <t>Email user tồn tại</t>
  </si>
  <si>
    <t>Nhập email và Submit</t>
  </si>
  <si>
    <t>Hiển thị trạng thái thành công và chuyển sang màn OTP.</t>
  </si>
  <si>
    <t>UI-008</t>
  </si>
  <si>
    <t>OTP Verification</t>
  </si>
  <si>
    <t>Nhập 6 chữ số OTP</t>
  </si>
  <si>
    <t>Đã gửi OTP</t>
  </si>
  <si>
    <t>Nhập từng số; dùng Backspace và paste 6 số</t>
  </si>
  <si>
    <t>Focus tự chuyển hợp lý; chỉ nhận chữ số.</t>
  </si>
  <si>
    <t>UI-009</t>
  </si>
  <si>
    <t>Verify OTP và resend</t>
  </si>
  <si>
    <t>OTP hợp lệ</t>
  </si>
  <si>
    <t>Verify code; sau đó test Resend Now</t>
  </si>
  <si>
    <t>OTP đúng chuyển New Password; resend báo thành công và áp dụng cooldown.</t>
  </si>
  <si>
    <t>UI-010</t>
  </si>
  <si>
    <t>New Password</t>
  </si>
  <si>
    <t>Đổi mật khẩu</t>
  </si>
  <si>
    <t>Nhập password mới và confirm rồi Save &amp; Continue</t>
  </si>
  <si>
    <t>Đổi mật khẩu thành công và chuyển Login.</t>
  </si>
  <si>
    <t>UI-011</t>
  </si>
  <si>
    <t>Shared Header</t>
  </si>
  <si>
    <t>Header component hiển thị</t>
  </si>
  <si>
    <t>Component</t>
  </si>
  <si>
    <t>Mở các trang chính</t>
  </si>
  <si>
    <t>Kiểm tra logo, 4 nav item và avatar</t>
  </si>
  <si>
    <t>Mỗi trang chỉ có một header; giao diện nhất quán.</t>
  </si>
  <si>
    <t>UI-012</t>
  </si>
  <si>
    <t>Menu active đúng trang</t>
  </si>
  <si>
    <t>Mở từng route</t>
  </si>
  <si>
    <t>So sánh màu active ở About, Products, Special Orders, Contact</t>
  </si>
  <si>
    <t>Chỉ mục hiện tại được active; Product Detail active Products.</t>
  </si>
  <si>
    <t>UI-013</t>
  </si>
  <si>
    <t>Avatar lấy từ profile</t>
  </si>
  <si>
    <t>User đã upload avatar</t>
  </si>
  <si>
    <t>Đăng nhập và mở các trang có header</t>
  </si>
  <si>
    <t>Avatar header hiển thị cùng ảnh profile.</t>
  </si>
  <si>
    <t>UI-014</t>
  </si>
  <si>
    <t>Menu profile hover không bị mất</t>
  </si>
  <si>
    <t>Interaction</t>
  </si>
  <si>
    <t>User đã đăng nhập</t>
  </si>
  <si>
    <t>Hover avatar rồi di chuột xuống menu</t>
  </si>
  <si>
    <t>Menu giữ mở đủ để chọn item, có hiệu ứng mượt.</t>
  </si>
  <si>
    <t>UI-015</t>
  </si>
  <si>
    <t>Profile và Logout hoạt động</t>
  </si>
  <si>
    <t>Menu profile đang mở</t>
  </si>
  <si>
    <t>Nhấn Profile; quay lại rồi nhấn Logout</t>
  </si>
  <si>
    <t>Profile chuyển /profile; Logout xóa localStorage và chuyển /login.</t>
  </si>
  <si>
    <t>UI-016</t>
  </si>
  <si>
    <t>Shared Footer</t>
  </si>
  <si>
    <t>Footer component nhất quán</t>
  </si>
  <si>
    <t>Mở các trang có footer</t>
  </si>
  <si>
    <t>Kiểm tra logo, slogan, địa chỉ, điện thoại</t>
  </si>
  <si>
    <t>Thông tin và căn lề giống nhau; reset pages dùng variant phù hợp.</t>
  </si>
  <si>
    <t>UI-017</t>
  </si>
  <si>
    <t>Home</t>
  </si>
  <si>
    <t>Điều hướng chính</t>
  </si>
  <si>
    <t>Mở /home</t>
  </si>
  <si>
    <t>Nhấn Products, Special Orders, Contact và logo</t>
  </si>
  <si>
    <t>Đi đúng route tương ứng; logo quay về Home.</t>
  </si>
  <si>
    <t>UI-018</t>
  </si>
  <si>
    <t>Feedback carousel</t>
  </si>
  <si>
    <t>Mở phần feedback</t>
  </si>
  <si>
    <t>Nhấn mũi tên trái/phải và từng dot</t>
  </si>
  <si>
    <t>Quote, tên khách và dot active thay đổi đúng; vòng lặp ở đầu/cuối.</t>
  </si>
  <si>
    <t>UI-019</t>
  </si>
  <si>
    <t>Responsive không chồng lấn</t>
  </si>
  <si>
    <t>Responsive</t>
  </si>
  <si>
    <t>Resize 1440, 1024, 768, 375 px</t>
  </si>
  <si>
    <t>Header, hero, sản phẩm, feedback và footer không tràn/chồng lấn.</t>
  </si>
  <si>
    <t>UI-020</t>
  </si>
  <si>
    <t>Products</t>
  </si>
  <si>
    <t>Fetch và nhóm sản phẩm theo category</t>
  </si>
  <si>
    <t>Đăng nhập, API có nhiều category</t>
  </si>
  <si>
    <t>Mở /products</t>
  </si>
  <si>
    <t>Hiện đúng số category từ DB và sản phẩm trong đúng nhóm.</t>
  </si>
  <si>
    <t>UI-021</t>
  </si>
  <si>
    <t>Ba sản phẩm mỗi hàng</t>
  </si>
  <si>
    <t>Có &gt;=3 product cùng category</t>
  </si>
  <si>
    <t>Mở viewport desktop</t>
  </si>
  <si>
    <t>Hiển thị 3 product trên một hàng, ảnh/giá/nút không lệch.</t>
  </si>
  <si>
    <t>Desktop &gt;= 1200px</t>
  </si>
  <si>
    <t>UI-022</t>
  </si>
  <si>
    <t>Category sidebar điều hướng</t>
  </si>
  <si>
    <t>Nhấn từng category</t>
  </si>
  <si>
    <t>Cuộn/đưa người dùng đến đúng section category.</t>
  </si>
  <si>
    <t>UI-023</t>
  </si>
  <si>
    <t>Hiển thị nhiều ảnh theo ảnh đầu</t>
  </si>
  <si>
    <t>Product có images[]</t>
  </si>
  <si>
    <t>Mở danh sách</t>
  </si>
  <si>
    <t>Card dùng images[0]; có fallback hợp lệ khi thiếu ảnh.</t>
  </si>
  <si>
    <t>UI-024</t>
  </si>
  <si>
    <t>Favorite toggle</t>
  </si>
  <si>
    <t>User đăng nhập</t>
  </si>
  <si>
    <t>Nhấn Favorite rồi Saved rồi bỏ favorite</t>
  </si>
  <si>
    <t>API được gọi đúng; trạng thái nút và profile favorites đồng bộ.</t>
  </si>
  <si>
    <t>UI-025</t>
  </si>
  <si>
    <t>View Detail và click ảnh</t>
  </si>
  <si>
    <t>Nhấn View Detail và nhấn ảnh product</t>
  </si>
  <si>
    <t>Mở đúng nội dung chi tiết/productId theo hành vi thiết kế.</t>
  </si>
  <si>
    <t>UI-026</t>
  </si>
  <si>
    <t>Order Now</t>
  </si>
  <si>
    <t>Product còn stock</t>
  </si>
  <si>
    <t>Nhấn Order Now</t>
  </si>
  <si>
    <t>Tạo order một sản phẩm, hiển thị trạng thái thành công, stock giảm đúng.</t>
  </si>
  <si>
    <t>UI-027</t>
  </si>
  <si>
    <t>Xử lý API lỗi/không token</t>
  </si>
  <si>
    <t>Error Handling</t>
  </si>
  <si>
    <t>Xóa token hoặc dừng server</t>
  </si>
  <si>
    <t>Mở trang/nhấn action</t>
  </si>
  <si>
    <t>Hiển thị thông báo rõ ràng hoặc chuyển login; layout không vỡ.</t>
  </si>
  <si>
    <t>UI-028</t>
  </si>
  <si>
    <t>Product Detail</t>
  </si>
  <si>
    <t>Tải đúng sản phẩm theo query id</t>
  </si>
  <si>
    <t>URL có id hợp lệ</t>
  </si>
  <si>
    <t>Mở /product-detail?id=&lt;id&gt;</t>
  </si>
  <si>
    <t>Hiển thị name, price, description, weight, shelf life và ingredients đúng API.</t>
  </si>
  <si>
    <t>UI-029</t>
  </si>
  <si>
    <t>Gallery nhiều ảnh</t>
  </si>
  <si>
    <t>Product có &gt;=3 images</t>
  </si>
  <si>
    <t>Nhấn từng thumbnail</t>
  </si>
  <si>
    <t>Ảnh chính đổi theo thumbnail và không méo hình.</t>
  </si>
  <si>
    <t>UI-030</t>
  </si>
  <si>
    <t>Quantity selector</t>
  </si>
  <si>
    <t>Trang đã tải</t>
  </si>
  <si>
    <t>Nhấn + nhiều lần và nhấn - tại quantity=1</t>
  </si>
  <si>
    <t>Quantity tăng/giảm; không thấp hơn 1 và không làm dịch layout.</t>
  </si>
  <si>
    <t>UI-031</t>
  </si>
  <si>
    <t>Add To Cart</t>
  </si>
  <si>
    <t>User đăng nhập, product active</t>
  </si>
  <si>
    <t>Chọn quantity rồi nhấn Add To Cart</t>
  </si>
  <si>
    <t>Product được thêm vào /me/cart đúng quantity, không tạo order ngay.</t>
  </si>
  <si>
    <t>UI-032</t>
  </si>
  <si>
    <t>Favorite detail</t>
  </si>
  <si>
    <t>Nhấn Favourites</t>
  </si>
  <si>
    <t>Thêm/bỏ favorite và đồng bộ UI với server.</t>
  </si>
  <si>
    <t>UI-033</t>
  </si>
  <si>
    <t>Related products</t>
  </si>
  <si>
    <t>API có nhiều product</t>
  </si>
  <si>
    <t>Mở product detail</t>
  </si>
  <si>
    <t>Hiện sản phẩm gợi ý khác sản phẩm hiện tại; click đi đúng detail.</t>
  </si>
  <si>
    <t>UI-034</t>
  </si>
  <si>
    <t>Tải profile thật từ server</t>
  </si>
  <si>
    <t>Mở /profile</t>
  </si>
  <si>
    <t>Hiển thị name, email, phone, address, DOB và avatar từ API.</t>
  </si>
  <si>
    <t>UI-035</t>
  </si>
  <si>
    <t>Cập nhật thông tin</t>
  </si>
  <si>
    <t>Profile đã tải</t>
  </si>
  <si>
    <t>Sửa tên/phone/address/DOB rồi Save Changes</t>
  </si>
  <si>
    <t>Hiển thị thông báo thành công; reload vẫn giữ dữ liệu mới.</t>
  </si>
  <si>
    <t>UI-036</t>
  </si>
  <si>
    <t>Cancel hoàn tác form</t>
  </si>
  <si>
    <t>Đã sửa nhưng chưa save</t>
  </si>
  <si>
    <t>Nhấn Cancel</t>
  </si>
  <si>
    <t>Form trở về dữ liệu đã tải từ server.</t>
  </si>
  <si>
    <t>UI-037</t>
  </si>
  <si>
    <t>Upload avatar bằng click</t>
  </si>
  <si>
    <t>Click avatar, chọn ảnh hợp lệ</t>
  </si>
  <si>
    <t>Avatar profile và avatar header cùng cập nhật.</t>
  </si>
  <si>
    <t>UI-038</t>
  </si>
  <si>
    <t>Recent Orders từ DB</t>
  </si>
  <si>
    <t>User có orders</t>
  </si>
  <si>
    <t>Mở profile</t>
  </si>
  <si>
    <t>Hiện tối đa 3 đơn mới nhất với tên, ngày, status, total đúng.</t>
  </si>
  <si>
    <t>UI-039</t>
  </si>
  <si>
    <t>Favorites từ DB và có thể click</t>
  </si>
  <si>
    <t>Mở profile và nhấn từng favorite item</t>
  </si>
  <si>
    <t>Hiển thị dữ liệu thật; click mở đúng chi tiết sản phẩm.</t>
  </si>
  <si>
    <t>UI-040</t>
  </si>
  <si>
    <t>Submit pickup</t>
  </si>
  <si>
    <t>Server và SMTP hoạt động</t>
  </si>
  <si>
    <t>Chọn Store Pickup, nhập thông tin và Submit</t>
  </si>
  <si>
    <t>Không bắt địa chỉ; hiển thị requestNumber và reset form.</t>
  </si>
  <si>
    <t>UI-041</t>
  </si>
  <si>
    <t>Validate delivery address</t>
  </si>
  <si>
    <t>Chọn Local Delivery/Shipping</t>
  </si>
  <si>
    <t>Bỏ trống address/city/zip rồi Submit</t>
  </si>
  <si>
    <t>Browser không gửi request và chỉ rõ trường bắt buộc.</t>
  </si>
  <si>
    <t>UI-042</t>
  </si>
  <si>
    <t>Submit loading và API error</t>
  </si>
  <si>
    <t>Form hợp lệ</t>
  </si>
  <si>
    <t>Submit khi server chậm; lặp lại khi server lỗi</t>
  </si>
  <si>
    <t>Nút disabled/Sending... chống gửi lặp; lỗi hiển thị rõ và dữ liệu chưa bị reset.</t>
  </si>
  <si>
    <t>UI-043</t>
  </si>
  <si>
    <t>Bản ghi xuất hiện cho admin</t>
  </si>
  <si>
    <t>Integration</t>
  </si>
  <si>
    <t>Submit thành công</t>
  </si>
  <si>
    <t>Dùng token admin gọi danh sách</t>
  </si>
  <si>
    <t>Request xuất hiện status Pending và email user/admin được gửi.</t>
  </si>
  <si>
    <t>API + UI</t>
  </si>
  <si>
    <t>UI-044</t>
  </si>
  <si>
    <t>Submit contact hợp lệ</t>
  </si>
  <si>
    <t>Nhập name/email/message rồi Submit</t>
  </si>
  <si>
    <t>Hiển thị ticketNumber, reset form và user nhận email đang chờ xử lý.</t>
  </si>
  <si>
    <t>UI-045</t>
  </si>
  <si>
    <t>Validate email/message</t>
  </si>
  <si>
    <t>Mở /contact</t>
  </si>
  <si>
    <t>Nhập email sai hoặc để message trống</t>
  </si>
  <si>
    <t>Không gửi API; browser hiển thị validation phù hợp.</t>
  </si>
  <si>
    <t>UI-046</t>
  </si>
  <si>
    <t>Dùng token admin gọi GET /api/contact</t>
  </si>
  <si>
    <t>Ticket xuất hiện status New; admin nhận email thông báo.</t>
  </si>
  <si>
    <t>UI-047</t>
  </si>
  <si>
    <t>Chống double submit</t>
  </si>
  <si>
    <t>Double click Submit nhanh</t>
  </si>
  <si>
    <t>Nút bị disabled trong lúc gửi; chỉ tạo một ticket.</t>
  </si>
  <si>
    <t>UI-048</t>
  </si>
  <si>
    <t>Header mobile</t>
  </si>
  <si>
    <t>Mở trang chính ở 375px</t>
  </si>
  <si>
    <t>Kiểm tra nav/logo/avatar và menu profile</t>
  </si>
  <si>
    <t>Không tràn ngang hoặc che nội dung; mục điều hướng vẫn sử dụng được.</t>
  </si>
  <si>
    <t>375x812</t>
  </si>
  <si>
    <t>UI-049</t>
  </si>
  <si>
    <t>Form mobile</t>
  </si>
  <si>
    <t>Mở Special Order/Contact ở 375px</t>
  </si>
  <si>
    <t>Cuộn và nhập mọi field</t>
  </si>
  <si>
    <t>Hai cột địa chỉ chuyển một cột; text/nút không bị cắt.</t>
  </si>
  <si>
    <t>UI-050</t>
  </si>
  <si>
    <t>Accessibility</t>
  </si>
  <si>
    <t>Điều hướng bàn phím cơ bản</t>
  </si>
  <si>
    <t>Dùng Tab, Shift+Tab, Enter, Space</t>
  </si>
  <si>
    <t>Focus đi theo thứ tự hợp lý; link/button/form sử dụng được bằng bàn phím.</t>
  </si>
  <si>
    <t>UI-051</t>
  </si>
  <si>
    <t>Tên truy cập và tương phản</t>
  </si>
  <si>
    <t>Mở các trang</t>
  </si>
  <si>
    <t>Kiểm tra alt/aria-label và màu chữ/nút</t>
  </si>
  <si>
    <t>Logo, avatar, mũi tên, form control có tên truy cập; chữ chính dễ đọc.</t>
  </si>
  <si>
    <t>UI-052</t>
  </si>
  <si>
    <t>Trang bảo vệ khi token mất/hết hạn</t>
  </si>
  <si>
    <t>Token bị xóa hoặc hết hạn</t>
  </si>
  <si>
    <t>Mở Products/Profile và thực hiện action</t>
  </si>
  <si>
    <t>Không hiển thị dữ liệu riêng tư; chuyển login hoặc báo cần đăng nhập.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</si>
</sst>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>
    <font>
      <sz val="11"/>
      <name val="Carlito"/>
    </font>
    <font>
      <b/>
      <sz val="16"/>
      <color rgb="FFD94960"/>
      <name val="Arial"/>
    </font>
    <font>
      <i/>
      <sz val="10"/>
      <color rgb="FF5D626A"/>
      <name val="Arial"/>
    </font>
    <font>
      <sz val="10"/>
      <color rgb="FF2F272B"/>
      <name val="Arial"/>
    </font>
    <font>
      <b/>
      <sz val="10"/>
      <color rgb="FFFFFFFF"/>
      <name val="Arial"/>
    </font>
    <font>
      <b/>
      <sz val="10"/>
      <color rgb="FFD94960"/>
      <name val="Arial"/>
    </font>
    <font>
      <b/>
      <sz val="11"/>
      <color rgb="FFD9496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4960"/>
      </patternFill>
    </fill>
    <fill>
      <patternFill patternType="solid">
        <fgColor rgb="FF713240"/>
      </patternFill>
    </fill>
    <fill>
      <patternFill patternType="solid">
        <fgColor rgb="FFFCE8EC"/>
      </patternFill>
    </fill>
  </fills>
  <borders count="8">
    <border>
      <left/>
      <right/>
      <top/>
      <bottom/>
      <diagonal/>
    </border>
    <border>
      <left/>
      <right/>
      <top/>
      <bottom style="thin">
        <color rgb="FFE7C6CD"/>
      </bottom>
      <diagonal/>
    </border>
    <border>
      <left/>
      <right/>
      <top style="thin">
        <color rgb="FFF1E1E5"/>
      </top>
      <bottom style="thin">
        <color rgb="FFF1E1E5"/>
      </bottom>
      <diagonal/>
    </border>
    <border>
      <left/>
      <right/>
      <top style="thin">
        <color rgb="FFF1E1E5"/>
      </top>
      <bottom style="thin">
        <color rgb="FFE7C6C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ADDE0"/>
      </bottom>
      <diagonal/>
    </border>
    <border>
      <left/>
      <right/>
      <top style="thin">
        <color rgb="FFEADDE0"/>
      </top>
      <bottom style="thin">
        <color rgb="FFEADDE0"/>
      </bottom>
      <diagonal/>
    </border>
    <border>
      <left/>
      <right/>
      <top style="thin">
        <color rgb="FFEADDE0"/>
      </top>
      <bottom style="thin">
        <color rgb="FFE7C6C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164" fontId="3" fillId="0" borderId="3" xfId="0" applyNumberFormat="1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0" xfId="0" applyFont="1"/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3" fontId="3" fillId="0" borderId="6" xfId="0" applyNumberFormat="1" applyFont="1" applyBorder="1"/>
    <xf numFmtId="165" fontId="3" fillId="0" borderId="7" xfId="0" applyNumberFormat="1" applyFont="1" applyBorder="1"/>
    <xf numFmtId="0" fontId="4" fillId="3" borderId="4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3" fillId="0" borderId="0" xfId="0" applyFont="1" applyAlignment="1">
      <alignment wrapText="1"/>
    </xf>
    <xf numFmtId="3" fontId="0" fillId="0" borderId="6" xfId="0" applyNumberFormat="1" applyFont="1" applyBorder="1"/>
    <xf numFmtId="0" fontId="0" fillId="0" borderId="7" xfId="0" applyFont="1" applyBorder="1"/>
    <xf numFmtId="0" fontId="0" fillId="0" borderId="6" xfId="0" applyFont="1" applyBorder="1"/>
    <xf numFmtId="0" fontId="0" fillId="0" borderId="5" xfId="0" applyFont="1" applyBorder="1"/>
    <xf numFmtId="3" fontId="0" fillId="0" borderId="5" xfId="0" applyNumberFormat="1" applyFont="1" applyBorder="1"/>
  </cellXfs>
  <cellStyles count="1">
    <cellStyle name="Normal" xfId="0" builtinId="0"/>
  </cellStyles>
  <dxfs count="17">
    <dxf>
      <font>
        <b/>
        <color rgb="FF8A5A00"/>
      </font>
      <fill>
        <patternFill patternType="solid">
          <bgColor rgb="FFFFF0CC"/>
        </patternFill>
      </fill>
    </dxf>
    <dxf>
      <font>
        <b/>
        <color rgb="FFB4233C"/>
      </font>
      <fill>
        <patternFill patternType="solid">
          <bgColor rgb="FFFDE2E5"/>
        </patternFill>
      </fill>
    </dxf>
    <dxf>
      <font>
        <color rgb="FF5D626A"/>
      </font>
      <fill>
        <patternFill patternType="solid">
          <bgColor rgb="FFF3F4F6"/>
        </patternFill>
      </fill>
    </dxf>
    <dxf>
      <font>
        <b/>
        <color rgb="FF1E5FA8"/>
      </font>
      <fill>
        <patternFill patternType="solid">
          <bgColor rgb="FFE3F0FF"/>
        </patternFill>
      </fill>
    </dxf>
    <dxf>
      <font>
        <b/>
        <color rgb="FF8A5A00"/>
      </font>
      <fill>
        <patternFill patternType="solid">
          <bgColor rgb="FFFFF0CC"/>
        </patternFill>
      </fill>
    </dxf>
    <dxf>
      <font>
        <b/>
        <color rgb="FFB4233C"/>
      </font>
      <fill>
        <patternFill patternType="solid">
          <bgColor rgb="FFFDE2E5"/>
        </patternFill>
      </fill>
    </dxf>
    <dxf>
      <font>
        <b/>
        <color rgb="FF247A43"/>
      </font>
      <fill>
        <patternFill patternType="solid">
          <bgColor rgb="FFDDF3E4"/>
        </patternFill>
      </fill>
    </dxf>
    <dxf>
      <font>
        <b/>
        <color rgb="FF8A5A00"/>
      </font>
      <fill>
        <patternFill patternType="solid">
          <bgColor rgb="FFFFF0CC"/>
        </patternFill>
      </fill>
    </dxf>
    <dxf>
      <font>
        <b/>
        <color rgb="FFB4233C"/>
      </font>
      <fill>
        <patternFill patternType="solid">
          <bgColor rgb="FFFDE2E5"/>
        </patternFill>
      </fill>
    </dxf>
    <dxf>
      <font>
        <color rgb="FF5D626A"/>
      </font>
      <fill>
        <patternFill patternType="solid">
          <bgColor rgb="FFF3F4F6"/>
        </patternFill>
      </fill>
    </dxf>
    <dxf>
      <font>
        <b/>
        <color rgb="FF1E5FA8"/>
      </font>
      <fill>
        <patternFill patternType="solid">
          <bgColor rgb="FFE3F0FF"/>
        </patternFill>
      </fill>
    </dxf>
    <dxf>
      <font>
        <b/>
        <color rgb="FF8A5A00"/>
      </font>
      <fill>
        <patternFill patternType="solid">
          <bgColor rgb="FFFFF0CC"/>
        </patternFill>
      </fill>
    </dxf>
    <dxf>
      <font>
        <b/>
        <color rgb="FFB4233C"/>
      </font>
      <fill>
        <patternFill patternType="solid">
          <bgColor rgb="FFFDE2E5"/>
        </patternFill>
      </fill>
    </dxf>
    <dxf>
      <font>
        <b/>
        <color rgb="FF247A43"/>
      </font>
      <fill>
        <patternFill patternType="solid">
          <bgColor rgb="FFDDF3E4"/>
        </patternFill>
      </fill>
    </dxf>
    <dxf>
      <font>
        <b/>
        <color rgb="FF8A5A00"/>
      </font>
      <fill>
        <patternFill patternType="solid">
          <bgColor rgb="FFFFF0CC"/>
        </patternFill>
      </fill>
    </dxf>
    <dxf>
      <font>
        <b/>
        <color rgb="FFB4233C"/>
      </font>
      <fill>
        <patternFill patternType="solid">
          <bgColor rgb="FFFDE2E5"/>
        </patternFill>
      </fill>
    </dxf>
    <dxf>
      <font>
        <b/>
        <color rgb="FF247A43"/>
      </font>
      <fill>
        <patternFill patternType="solid">
          <bgColor rgb="FFDD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TestCasesTable" displayName="ApiTestCasesTable" ref="A5:Q103" totalsRowShown="0">
  <autoFilter ref="A5:Q103" xr:uid="{00000000-0009-0000-0100-000001000000}"/>
  <tableColumns count="17">
    <tableColumn id="1" xr3:uid="{00000000-0010-0000-0000-000001000000}" name="Test Case ID"/>
    <tableColumn id="2" xr3:uid="{00000000-0010-0000-0000-000002000000}" name="Module"/>
    <tableColumn id="3" xr3:uid="{00000000-0010-0000-0000-000003000000}" name="Chức năng / Kịch bản"/>
    <tableColumn id="4" xr3:uid="{00000000-0010-0000-0000-000004000000}" name="Method"/>
    <tableColumn id="5" xr3:uid="{00000000-0010-0000-0000-000005000000}" name="Endpoint"/>
    <tableColumn id="6" xr3:uid="{00000000-0010-0000-0000-000006000000}" name="Loại test"/>
    <tableColumn id="7" xr3:uid="{00000000-0010-0000-0000-000007000000}" name="Ưu tiên"/>
    <tableColumn id="8" xr3:uid="{00000000-0010-0000-0000-000008000000}" name="Điều kiện trước"/>
    <tableColumn id="9" xr3:uid="{00000000-0010-0000-0000-000009000000}" name="Dữ liệu test"/>
    <tableColumn id="10" xr3:uid="{00000000-0010-0000-0000-00000A000000}" name="Các bước thực hiện"/>
    <tableColumn id="11" xr3:uid="{00000000-0010-0000-0000-00000B000000}" name="HTTP mong đợi"/>
    <tableColumn id="12" xr3:uid="{00000000-0010-0000-0000-00000C000000}" name="Kết quả mong đợi"/>
    <tableColumn id="13" xr3:uid="{00000000-0010-0000-0000-00000D000000}" name="Trạng thái"/>
    <tableColumn id="14" xr3:uid="{00000000-0010-0000-0000-00000E000000}" name="Kết quả thực tế"/>
    <tableColumn id="15" xr3:uid="{00000000-0010-0000-0000-00000F000000}" name="Người test"/>
    <tableColumn id="16" xr3:uid="{00000000-0010-0000-0000-000010000000}" name="Ngày test"/>
    <tableColumn id="17" xr3:uid="{00000000-0010-0000-0000-000011000000}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iTestCasesTable" displayName="UiTestCasesTable" ref="A5:N57" totalsRowShown="0">
  <autoFilter ref="A5:N57" xr:uid="{00000000-0009-0000-0100-000002000000}"/>
  <tableColumns count="14">
    <tableColumn id="1" xr3:uid="{00000000-0010-0000-0100-000001000000}" name="Test Case ID"/>
    <tableColumn id="2" xr3:uid="{00000000-0010-0000-0100-000002000000}" name="Màn hình"/>
    <tableColumn id="3" xr3:uid="{00000000-0010-0000-0100-000003000000}" name="Chức năng / Kịch bản"/>
    <tableColumn id="4" xr3:uid="{00000000-0010-0000-0100-000004000000}" name="Loại test"/>
    <tableColumn id="5" xr3:uid="{00000000-0010-0000-0100-000005000000}" name="Ưu tiên"/>
    <tableColumn id="6" xr3:uid="{00000000-0010-0000-0100-000006000000}" name="Điều kiện trước"/>
    <tableColumn id="7" xr3:uid="{00000000-0010-0000-0100-000007000000}" name="Các bước thực hiện"/>
    <tableColumn id="8" xr3:uid="{00000000-0010-0000-0100-000008000000}" name="Kết quả mong đợi"/>
    <tableColumn id="9" xr3:uid="{00000000-0010-0000-0100-000009000000}" name="Browser / Viewport"/>
    <tableColumn id="10" xr3:uid="{00000000-0010-0000-0100-00000A000000}" name="Trạng thái"/>
    <tableColumn id="11" xr3:uid="{00000000-0010-0000-0100-00000B000000}" name="Kết quả thực tế"/>
    <tableColumn id="12" xr3:uid="{00000000-0010-0000-0100-00000C000000}" name="Người test"/>
    <tableColumn id="13" xr3:uid="{00000000-0010-0000-0100-00000D000000}" name="Ngày test"/>
    <tableColumn id="14" xr3:uid="{00000000-0010-0000-0100-00000E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4960"/>
  </sheetPr>
  <dimension ref="A2:F24"/>
  <sheetViews>
    <sheetView showGridLines="0" workbookViewId="0">
      <selection activeCell="A14" sqref="A14"/>
    </sheetView>
  </sheetViews>
  <sheetFormatPr defaultRowHeight="14.25"/>
  <cols>
    <col min="1" max="1" width="42" customWidth="1"/>
    <col min="2" max="2" width="15" customWidth="1"/>
    <col min="3" max="3" width="4" customWidth="1"/>
    <col min="4" max="4" width="18" customWidth="1"/>
    <col min="5" max="6" width="12" customWidth="1"/>
  </cols>
  <sheetData>
    <row r="2" spans="1:6" ht="20.25">
      <c r="A2" s="1" t="s">
        <v>0</v>
      </c>
    </row>
    <row r="3" spans="1:6">
      <c r="A3" s="13" t="s">
        <v>1</v>
      </c>
    </row>
    <row r="4" spans="1:6">
      <c r="A4" s="2"/>
      <c r="B4" s="2"/>
      <c r="C4" s="2"/>
      <c r="D4" s="2"/>
      <c r="E4" s="2"/>
      <c r="F4" s="2"/>
    </row>
    <row r="6" spans="1:6">
      <c r="A6" s="14" t="s">
        <v>2</v>
      </c>
      <c r="B6" s="14" t="s">
        <v>3</v>
      </c>
      <c r="D6" s="20" t="s">
        <v>4</v>
      </c>
      <c r="E6" s="20" t="s">
        <v>5</v>
      </c>
      <c r="F6" s="20" t="s">
        <v>6</v>
      </c>
    </row>
    <row r="7" spans="1:6">
      <c r="A7" s="15" t="s">
        <v>7</v>
      </c>
      <c r="B7" s="27">
        <f>COUNTA('API Test Cases'!$A$6:$A$103)</f>
        <v>98</v>
      </c>
      <c r="D7" s="15" t="s">
        <v>8</v>
      </c>
      <c r="E7" s="26">
        <f>COUNTIF('API Test Cases'!$G$6:$G$103,D7)</f>
        <v>26</v>
      </c>
      <c r="F7" s="15">
        <f>COUNTIF('UI Test Cases'!$E$6:$E$57,D7)</f>
        <v>17</v>
      </c>
    </row>
    <row r="8" spans="1:6">
      <c r="A8" s="16" t="s">
        <v>9</v>
      </c>
      <c r="B8" s="18">
        <f>COUNTA('UI Test Cases'!$A$6:$A$57)</f>
        <v>52</v>
      </c>
      <c r="D8" s="16" t="s">
        <v>10</v>
      </c>
      <c r="E8" s="25">
        <f>COUNTIF('API Test Cases'!$G$6:$G$103,D8)</f>
        <v>55</v>
      </c>
      <c r="F8" s="16">
        <f>COUNTIF('UI Test Cases'!$E$6:$E$57,D8)</f>
        <v>26</v>
      </c>
    </row>
    <row r="9" spans="1:6">
      <c r="A9" s="16" t="s">
        <v>11</v>
      </c>
      <c r="B9" s="18">
        <f>SUM(B7:B8)</f>
        <v>150</v>
      </c>
      <c r="D9" s="16" t="s">
        <v>12</v>
      </c>
      <c r="E9" s="25">
        <f>COUNTIF('API Test Cases'!$G$6:$G$103,D9)</f>
        <v>16</v>
      </c>
      <c r="F9" s="16">
        <f>COUNTIF('UI Test Cases'!$E$6:$E$57,D9)</f>
        <v>9</v>
      </c>
    </row>
    <row r="10" spans="1:6">
      <c r="A10" s="16" t="s">
        <v>13</v>
      </c>
      <c r="B10" s="23">
        <f>COUNTIF('API Test Cases'!$M$6:$M$103,"Passed")+COUNTIF('UI Test Cases'!$J$6:$J$57,"Passed")</f>
        <v>136</v>
      </c>
      <c r="D10" s="17" t="s">
        <v>14</v>
      </c>
      <c r="E10" s="24">
        <f>COUNTIF('API Test Cases'!$G$6:$G$103,D10)</f>
        <v>1</v>
      </c>
      <c r="F10" s="17">
        <f>COUNTIF('UI Test Cases'!$E$6:$E$57,D10)</f>
        <v>0</v>
      </c>
    </row>
    <row r="11" spans="1:6">
      <c r="A11" s="16" t="s">
        <v>15</v>
      </c>
      <c r="B11" s="23">
        <f>COUNTIF('API Test Cases'!$M$6:$M$103,"Failed")+COUNTIF('UI Test Cases'!$J$6:$J$57,"Failed")</f>
        <v>0</v>
      </c>
    </row>
    <row r="12" spans="1:6">
      <c r="A12" s="16" t="s">
        <v>16</v>
      </c>
      <c r="B12" s="23">
        <f>COUNTIF('API Test Cases'!$M$6:$M$103,"Blocked")+COUNTIF('UI Test Cases'!$J$6:$J$57,"Blocked")</f>
        <v>0</v>
      </c>
    </row>
    <row r="13" spans="1:6">
      <c r="A13" s="16" t="s">
        <v>17</v>
      </c>
      <c r="B13" s="23">
        <f>COUNTIF('API Test Cases'!$M$6:$M$103,"In Progress")+COUNTIF('UI Test Cases'!$J$6:$J$57,"In Progress")</f>
        <v>0</v>
      </c>
    </row>
    <row r="14" spans="1:6">
      <c r="A14" s="16" t="s">
        <v>18</v>
      </c>
      <c r="B14" s="23">
        <f>COUNTIF('API Test Cases'!$M$6:$M$103,"Not Run")+COUNTIF('UI Test Cases'!$J$6:$J$57,"Not Run")</f>
        <v>14</v>
      </c>
    </row>
    <row r="15" spans="1:6">
      <c r="A15" s="16" t="s">
        <v>19</v>
      </c>
      <c r="B15" s="18">
        <f>SUM(B10:B12)</f>
        <v>136</v>
      </c>
    </row>
    <row r="16" spans="1:6">
      <c r="A16" s="17" t="s">
        <v>20</v>
      </c>
      <c r="B16" s="19">
        <f>IF(SUM(B10:B11)=0,0,B10/SUM(B10:B11))</f>
        <v>1</v>
      </c>
    </row>
    <row r="19" spans="1:6" ht="15">
      <c r="A19" s="21" t="s">
        <v>21</v>
      </c>
      <c r="B19" s="21"/>
      <c r="C19" s="21"/>
      <c r="D19" s="21"/>
      <c r="E19" s="21"/>
      <c r="F19" s="21"/>
    </row>
    <row r="20" spans="1:6" ht="27.95" customHeight="1">
      <c r="A20" s="22" t="s">
        <v>22</v>
      </c>
      <c r="B20" s="22"/>
      <c r="C20" s="22"/>
      <c r="D20" s="22"/>
      <c r="E20" s="22"/>
      <c r="F20" s="22"/>
    </row>
    <row r="21" spans="1:6" ht="27.95" customHeight="1">
      <c r="A21" s="22" t="s">
        <v>23</v>
      </c>
      <c r="B21" s="22"/>
      <c r="C21" s="22"/>
      <c r="D21" s="22"/>
      <c r="E21" s="22"/>
      <c r="F21" s="22"/>
    </row>
    <row r="22" spans="1:6" ht="27.95" customHeight="1">
      <c r="A22" s="22" t="s">
        <v>24</v>
      </c>
      <c r="B22" s="22"/>
      <c r="C22" s="22"/>
      <c r="D22" s="22"/>
      <c r="E22" s="22"/>
      <c r="F22" s="22"/>
    </row>
    <row r="23" spans="1:6" ht="27.95" customHeight="1">
      <c r="A23" s="22" t="s">
        <v>25</v>
      </c>
      <c r="B23" s="22"/>
      <c r="C23" s="22"/>
      <c r="D23" s="22"/>
      <c r="E23" s="22"/>
      <c r="F23" s="22"/>
    </row>
    <row r="24" spans="1:6" ht="27.95" customHeight="1">
      <c r="A24" s="22" t="s">
        <v>26</v>
      </c>
      <c r="B24" s="22"/>
      <c r="C24" s="22"/>
      <c r="D24" s="22"/>
      <c r="E24" s="22"/>
      <c r="F24" s="22"/>
    </row>
  </sheetData>
  <conditionalFormatting sqref="B10">
    <cfRule type="cellIs" dxfId="16" priority="1" operator="greaterThan">
      <formula>0</formula>
    </cfRule>
  </conditionalFormatting>
  <conditionalFormatting sqref="B11">
    <cfRule type="cellIs" dxfId="15" priority="2" operator="greaterThan">
      <formula>0</formula>
    </cfRule>
  </conditionalFormatting>
  <conditionalFormatting sqref="B12">
    <cfRule type="cellIs" dxfId="14" priority="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8FA0"/>
  </sheetPr>
  <dimension ref="A2:Q103"/>
  <sheetViews>
    <sheetView showGridLines="0" workbookViewId="0">
      <pane xSplit="2" ySplit="5" topLeftCell="C99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13" customWidth="1"/>
    <col min="2" max="2" width="16" customWidth="1"/>
    <col min="3" max="3" width="28" customWidth="1"/>
    <col min="4" max="4" width="10" customWidth="1"/>
    <col min="5" max="5" width="32" customWidth="1"/>
    <col min="6" max="7" width="13" customWidth="1"/>
    <col min="8" max="10" width="32" customWidth="1"/>
    <col min="11" max="11" width="14" customWidth="1"/>
    <col min="12" max="12" width="38" customWidth="1"/>
    <col min="13" max="13" width="15" customWidth="1"/>
    <col min="14" max="14" width="30" customWidth="1"/>
    <col min="15" max="15" width="16" customWidth="1"/>
    <col min="16" max="16" width="13" customWidth="1"/>
    <col min="17" max="17" width="24" customWidth="1"/>
  </cols>
  <sheetData>
    <row r="2" spans="1:17" ht="26.1" customHeight="1">
      <c r="A2" s="1" t="s">
        <v>27</v>
      </c>
    </row>
    <row r="3" spans="1:17">
      <c r="A3" s="3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33.950000000000003" customHeight="1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  <c r="K5" s="6" t="s">
        <v>39</v>
      </c>
      <c r="L5" s="6" t="s">
        <v>40</v>
      </c>
      <c r="M5" s="6" t="s">
        <v>41</v>
      </c>
      <c r="N5" s="6" t="s">
        <v>42</v>
      </c>
      <c r="O5" s="6" t="s">
        <v>43</v>
      </c>
      <c r="P5" s="6" t="s">
        <v>44</v>
      </c>
      <c r="Q5" s="6" t="s">
        <v>45</v>
      </c>
    </row>
    <row r="6" spans="1:17" ht="57.95" customHeight="1">
      <c r="A6" s="7" t="s">
        <v>46</v>
      </c>
      <c r="B6" s="4" t="s">
        <v>47</v>
      </c>
      <c r="C6" s="4" t="s">
        <v>48</v>
      </c>
      <c r="D6" s="11" t="s">
        <v>49</v>
      </c>
      <c r="E6" s="4" t="s">
        <v>50</v>
      </c>
      <c r="F6" s="4" t="s">
        <v>51</v>
      </c>
      <c r="G6" s="11" t="s">
        <v>10</v>
      </c>
      <c r="H6" s="4" t="s">
        <v>52</v>
      </c>
      <c r="I6" s="4" t="s">
        <v>53</v>
      </c>
      <c r="J6" s="4" t="s">
        <v>54</v>
      </c>
      <c r="K6" s="11">
        <v>200</v>
      </c>
      <c r="L6" s="4" t="s">
        <v>55</v>
      </c>
      <c r="M6" s="11" t="s">
        <v>18</v>
      </c>
      <c r="N6" s="4"/>
      <c r="O6" s="4"/>
      <c r="P6" s="9"/>
      <c r="Q6" s="4"/>
    </row>
    <row r="7" spans="1:17" ht="57.95" customHeight="1">
      <c r="A7" s="7" t="s">
        <v>56</v>
      </c>
      <c r="B7" s="4" t="s">
        <v>47</v>
      </c>
      <c r="C7" s="4" t="s">
        <v>57</v>
      </c>
      <c r="D7" s="11" t="s">
        <v>49</v>
      </c>
      <c r="E7" s="4" t="s">
        <v>58</v>
      </c>
      <c r="F7" s="4" t="s">
        <v>59</v>
      </c>
      <c r="G7" s="11" t="s">
        <v>12</v>
      </c>
      <c r="H7" s="4" t="s">
        <v>52</v>
      </c>
      <c r="I7" s="4" t="s">
        <v>53</v>
      </c>
      <c r="J7" s="4" t="s">
        <v>60</v>
      </c>
      <c r="K7" s="11">
        <v>404</v>
      </c>
      <c r="L7" s="4" t="s">
        <v>61</v>
      </c>
      <c r="M7" s="11" t="s">
        <v>18</v>
      </c>
      <c r="N7" s="4"/>
      <c r="O7" s="4"/>
      <c r="P7" s="9"/>
      <c r="Q7" s="4"/>
    </row>
    <row r="8" spans="1:17" ht="57.95" customHeight="1">
      <c r="A8" s="7" t="s">
        <v>62</v>
      </c>
      <c r="B8" s="4" t="s">
        <v>63</v>
      </c>
      <c r="C8" s="4" t="s">
        <v>64</v>
      </c>
      <c r="D8" s="11" t="s">
        <v>65</v>
      </c>
      <c r="E8" s="4" t="s">
        <v>66</v>
      </c>
      <c r="F8" s="4" t="s">
        <v>51</v>
      </c>
      <c r="G8" s="11" t="s">
        <v>8</v>
      </c>
      <c r="H8" s="4" t="s">
        <v>67</v>
      </c>
      <c r="I8" s="4" t="s">
        <v>68</v>
      </c>
      <c r="J8" s="4" t="s">
        <v>69</v>
      </c>
      <c r="K8" s="11">
        <v>201</v>
      </c>
      <c r="L8" s="4" t="s">
        <v>70</v>
      </c>
      <c r="M8" s="11" t="s">
        <v>18</v>
      </c>
      <c r="N8" s="4"/>
      <c r="O8" s="4"/>
      <c r="P8" s="9"/>
      <c r="Q8" s="4"/>
    </row>
    <row r="9" spans="1:17" ht="57.95" customHeight="1">
      <c r="A9" s="7" t="s">
        <v>71</v>
      </c>
      <c r="B9" s="4" t="s">
        <v>63</v>
      </c>
      <c r="C9" s="4" t="s">
        <v>72</v>
      </c>
      <c r="D9" s="11" t="s">
        <v>65</v>
      </c>
      <c r="E9" s="4" t="s">
        <v>66</v>
      </c>
      <c r="F9" s="4" t="s">
        <v>59</v>
      </c>
      <c r="G9" s="11" t="s">
        <v>10</v>
      </c>
      <c r="H9" s="4" t="s">
        <v>53</v>
      </c>
      <c r="I9" s="4" t="s">
        <v>73</v>
      </c>
      <c r="J9" s="4" t="s">
        <v>74</v>
      </c>
      <c r="K9" s="11">
        <v>400</v>
      </c>
      <c r="L9" s="4" t="s">
        <v>75</v>
      </c>
      <c r="M9" s="11" t="s">
        <v>18</v>
      </c>
      <c r="N9" s="4"/>
      <c r="O9" s="4"/>
      <c r="P9" s="9"/>
      <c r="Q9" s="4"/>
    </row>
    <row r="10" spans="1:17" ht="57.95" customHeight="1">
      <c r="A10" s="7" t="s">
        <v>76</v>
      </c>
      <c r="B10" s="4" t="s">
        <v>63</v>
      </c>
      <c r="C10" s="4" t="s">
        <v>77</v>
      </c>
      <c r="D10" s="11" t="s">
        <v>65</v>
      </c>
      <c r="E10" s="4" t="s">
        <v>66</v>
      </c>
      <c r="F10" s="4" t="s">
        <v>78</v>
      </c>
      <c r="G10" s="11" t="s">
        <v>10</v>
      </c>
      <c r="H10" s="4" t="s">
        <v>53</v>
      </c>
      <c r="I10" s="4" t="s">
        <v>79</v>
      </c>
      <c r="J10" s="4" t="s">
        <v>80</v>
      </c>
      <c r="K10" s="11">
        <v>400</v>
      </c>
      <c r="L10" s="4" t="s">
        <v>81</v>
      </c>
      <c r="M10" s="11" t="s">
        <v>18</v>
      </c>
      <c r="N10" s="4"/>
      <c r="O10" s="4"/>
      <c r="P10" s="9"/>
      <c r="Q10" s="4"/>
    </row>
    <row r="11" spans="1:17" ht="57.95" customHeight="1">
      <c r="A11" s="7" t="s">
        <v>82</v>
      </c>
      <c r="B11" s="4" t="s">
        <v>63</v>
      </c>
      <c r="C11" s="4" t="s">
        <v>83</v>
      </c>
      <c r="D11" s="11" t="s">
        <v>65</v>
      </c>
      <c r="E11" s="4" t="s">
        <v>66</v>
      </c>
      <c r="F11" s="4" t="s">
        <v>78</v>
      </c>
      <c r="G11" s="11" t="s">
        <v>10</v>
      </c>
      <c r="H11" s="4" t="s">
        <v>53</v>
      </c>
      <c r="I11" s="4" t="s">
        <v>84</v>
      </c>
      <c r="J11" s="4" t="s">
        <v>80</v>
      </c>
      <c r="K11" s="11">
        <v>400</v>
      </c>
      <c r="L11" s="4" t="s">
        <v>85</v>
      </c>
      <c r="M11" s="11" t="s">
        <v>18</v>
      </c>
      <c r="N11" s="4"/>
      <c r="O11" s="4"/>
      <c r="P11" s="9"/>
      <c r="Q11" s="4"/>
    </row>
    <row r="12" spans="1:17" ht="57.95" customHeight="1">
      <c r="A12" s="7" t="s">
        <v>86</v>
      </c>
      <c r="B12" s="4" t="s">
        <v>63</v>
      </c>
      <c r="C12" s="4" t="s">
        <v>87</v>
      </c>
      <c r="D12" s="11" t="s">
        <v>65</v>
      </c>
      <c r="E12" s="4" t="s">
        <v>66</v>
      </c>
      <c r="F12" s="4" t="s">
        <v>59</v>
      </c>
      <c r="G12" s="11" t="s">
        <v>10</v>
      </c>
      <c r="H12" s="4" t="s">
        <v>88</v>
      </c>
      <c r="I12" s="4" t="s">
        <v>89</v>
      </c>
      <c r="J12" s="4" t="s">
        <v>90</v>
      </c>
      <c r="K12" s="11">
        <v>400</v>
      </c>
      <c r="L12" s="4" t="s">
        <v>91</v>
      </c>
      <c r="M12" s="11" t="s">
        <v>18</v>
      </c>
      <c r="N12" s="4"/>
      <c r="O12" s="4"/>
      <c r="P12" s="9"/>
      <c r="Q12" s="4"/>
    </row>
    <row r="13" spans="1:17" ht="57.95" customHeight="1">
      <c r="A13" s="7" t="s">
        <v>92</v>
      </c>
      <c r="B13" s="4" t="s">
        <v>63</v>
      </c>
      <c r="C13" s="4" t="s">
        <v>93</v>
      </c>
      <c r="D13" s="11" t="s">
        <v>65</v>
      </c>
      <c r="E13" s="4" t="s">
        <v>94</v>
      </c>
      <c r="F13" s="4" t="s">
        <v>51</v>
      </c>
      <c r="G13" s="11" t="s">
        <v>8</v>
      </c>
      <c r="H13" s="4" t="s">
        <v>95</v>
      </c>
      <c r="I13" s="4" t="s">
        <v>96</v>
      </c>
      <c r="J13" s="4" t="s">
        <v>97</v>
      </c>
      <c r="K13" s="11">
        <v>200</v>
      </c>
      <c r="L13" s="4" t="s">
        <v>98</v>
      </c>
      <c r="M13" s="11" t="s">
        <v>18</v>
      </c>
      <c r="N13" s="4"/>
      <c r="O13" s="4"/>
      <c r="P13" s="9"/>
      <c r="Q13" s="4"/>
    </row>
    <row r="14" spans="1:17" ht="57.95" customHeight="1">
      <c r="A14" s="7" t="s">
        <v>99</v>
      </c>
      <c r="B14" s="4" t="s">
        <v>63</v>
      </c>
      <c r="C14" s="4" t="s">
        <v>100</v>
      </c>
      <c r="D14" s="11" t="s">
        <v>65</v>
      </c>
      <c r="E14" s="4" t="s">
        <v>94</v>
      </c>
      <c r="F14" s="4" t="s">
        <v>59</v>
      </c>
      <c r="G14" s="11" t="s">
        <v>8</v>
      </c>
      <c r="H14" s="4" t="s">
        <v>101</v>
      </c>
      <c r="I14" s="4" t="s">
        <v>102</v>
      </c>
      <c r="J14" s="4" t="s">
        <v>97</v>
      </c>
      <c r="K14" s="11">
        <v>401</v>
      </c>
      <c r="L14" s="4" t="s">
        <v>103</v>
      </c>
      <c r="M14" s="11" t="s">
        <v>18</v>
      </c>
      <c r="N14" s="4"/>
      <c r="O14" s="4"/>
      <c r="P14" s="9"/>
      <c r="Q14" s="4"/>
    </row>
    <row r="15" spans="1:17" ht="57.95" customHeight="1">
      <c r="A15" s="7" t="s">
        <v>104</v>
      </c>
      <c r="B15" s="4" t="s">
        <v>63</v>
      </c>
      <c r="C15" s="4" t="s">
        <v>105</v>
      </c>
      <c r="D15" s="11" t="s">
        <v>65</v>
      </c>
      <c r="E15" s="4" t="s">
        <v>94</v>
      </c>
      <c r="F15" s="4" t="s">
        <v>78</v>
      </c>
      <c r="G15" s="11" t="s">
        <v>10</v>
      </c>
      <c r="H15" s="4" t="s">
        <v>53</v>
      </c>
      <c r="I15" s="4" t="s">
        <v>106</v>
      </c>
      <c r="J15" s="4" t="s">
        <v>97</v>
      </c>
      <c r="K15" s="11">
        <v>400</v>
      </c>
      <c r="L15" s="4" t="s">
        <v>107</v>
      </c>
      <c r="M15" s="11" t="s">
        <v>18</v>
      </c>
      <c r="N15" s="4"/>
      <c r="O15" s="4"/>
      <c r="P15" s="9"/>
      <c r="Q15" s="4"/>
    </row>
    <row r="16" spans="1:17" ht="57.95" customHeight="1">
      <c r="A16" s="7" t="s">
        <v>108</v>
      </c>
      <c r="B16" s="4" t="s">
        <v>63</v>
      </c>
      <c r="C16" s="4" t="s">
        <v>109</v>
      </c>
      <c r="D16" s="11" t="s">
        <v>65</v>
      </c>
      <c r="E16" s="4" t="s">
        <v>94</v>
      </c>
      <c r="F16" s="4" t="s">
        <v>110</v>
      </c>
      <c r="G16" s="11" t="s">
        <v>10</v>
      </c>
      <c r="H16" s="4" t="s">
        <v>111</v>
      </c>
      <c r="I16" s="4" t="s">
        <v>96</v>
      </c>
      <c r="J16" s="4" t="s">
        <v>97</v>
      </c>
      <c r="K16" s="11">
        <v>403</v>
      </c>
      <c r="L16" s="4" t="s">
        <v>112</v>
      </c>
      <c r="M16" s="11" t="s">
        <v>18</v>
      </c>
      <c r="N16" s="4"/>
      <c r="O16" s="4"/>
      <c r="P16" s="9"/>
      <c r="Q16" s="4"/>
    </row>
    <row r="17" spans="1:17" ht="57.95" customHeight="1">
      <c r="A17" s="7" t="s">
        <v>113</v>
      </c>
      <c r="B17" s="4" t="s">
        <v>63</v>
      </c>
      <c r="C17" s="4" t="s">
        <v>114</v>
      </c>
      <c r="D17" s="11" t="s">
        <v>65</v>
      </c>
      <c r="E17" s="4" t="s">
        <v>94</v>
      </c>
      <c r="F17" s="4" t="s">
        <v>110</v>
      </c>
      <c r="G17" s="11" t="s">
        <v>8</v>
      </c>
      <c r="H17" s="4" t="s">
        <v>115</v>
      </c>
      <c r="I17" s="4" t="s">
        <v>96</v>
      </c>
      <c r="J17" s="4" t="s">
        <v>116</v>
      </c>
      <c r="K17" s="11">
        <v>200</v>
      </c>
      <c r="L17" s="4" t="s">
        <v>117</v>
      </c>
      <c r="M17" s="11" t="s">
        <v>18</v>
      </c>
      <c r="N17" s="4"/>
      <c r="O17" s="4"/>
      <c r="P17" s="9"/>
      <c r="Q17" s="4"/>
    </row>
    <row r="18" spans="1:17" ht="57.95" customHeight="1">
      <c r="A18" s="7" t="s">
        <v>118</v>
      </c>
      <c r="B18" s="4" t="s">
        <v>119</v>
      </c>
      <c r="C18" s="4" t="s">
        <v>120</v>
      </c>
      <c r="D18" s="11" t="s">
        <v>65</v>
      </c>
      <c r="E18" s="4" t="s">
        <v>121</v>
      </c>
      <c r="F18" s="4" t="s">
        <v>51</v>
      </c>
      <c r="G18" s="11" t="s">
        <v>8</v>
      </c>
      <c r="H18" s="4" t="s">
        <v>122</v>
      </c>
      <c r="I18" s="4" t="s">
        <v>123</v>
      </c>
      <c r="J18" s="4" t="s">
        <v>124</v>
      </c>
      <c r="K18" s="11">
        <v>200</v>
      </c>
      <c r="L18" s="4" t="s">
        <v>125</v>
      </c>
      <c r="M18" s="11" t="s">
        <v>18</v>
      </c>
      <c r="N18" s="4"/>
      <c r="O18" s="4"/>
      <c r="P18" s="9"/>
      <c r="Q18" s="4"/>
    </row>
    <row r="19" spans="1:17" ht="57.95" customHeight="1">
      <c r="A19" s="7" t="s">
        <v>126</v>
      </c>
      <c r="B19" s="4" t="s">
        <v>119</v>
      </c>
      <c r="C19" s="4" t="s">
        <v>127</v>
      </c>
      <c r="D19" s="11" t="s">
        <v>65</v>
      </c>
      <c r="E19" s="4" t="s">
        <v>121</v>
      </c>
      <c r="F19" s="4" t="s">
        <v>78</v>
      </c>
      <c r="G19" s="11" t="s">
        <v>10</v>
      </c>
      <c r="H19" s="4" t="s">
        <v>53</v>
      </c>
      <c r="I19" s="4" t="s">
        <v>128</v>
      </c>
      <c r="J19" s="4" t="s">
        <v>129</v>
      </c>
      <c r="K19" s="11">
        <v>400</v>
      </c>
      <c r="L19" s="4" t="s">
        <v>130</v>
      </c>
      <c r="M19" s="11" t="s">
        <v>18</v>
      </c>
      <c r="N19" s="4"/>
      <c r="O19" s="4"/>
      <c r="P19" s="9"/>
      <c r="Q19" s="4"/>
    </row>
    <row r="20" spans="1:17" ht="57.95" customHeight="1">
      <c r="A20" s="7" t="s">
        <v>131</v>
      </c>
      <c r="B20" s="4" t="s">
        <v>119</v>
      </c>
      <c r="C20" s="4" t="s">
        <v>132</v>
      </c>
      <c r="D20" s="11" t="s">
        <v>65</v>
      </c>
      <c r="E20" s="4" t="s">
        <v>121</v>
      </c>
      <c r="F20" s="4" t="s">
        <v>110</v>
      </c>
      <c r="G20" s="11" t="s">
        <v>10</v>
      </c>
      <c r="H20" s="4" t="s">
        <v>133</v>
      </c>
      <c r="I20" s="4" t="s">
        <v>134</v>
      </c>
      <c r="J20" s="4" t="s">
        <v>135</v>
      </c>
      <c r="K20" s="11">
        <v>429</v>
      </c>
      <c r="L20" s="4" t="s">
        <v>136</v>
      </c>
      <c r="M20" s="11" t="s">
        <v>13</v>
      </c>
      <c r="N20" s="4"/>
      <c r="O20" s="4"/>
      <c r="P20" s="9"/>
      <c r="Q20" s="4"/>
    </row>
    <row r="21" spans="1:17" ht="57.95" customHeight="1">
      <c r="A21" s="7" t="s">
        <v>137</v>
      </c>
      <c r="B21" s="4" t="s">
        <v>119</v>
      </c>
      <c r="C21" s="4" t="s">
        <v>138</v>
      </c>
      <c r="D21" s="11" t="s">
        <v>65</v>
      </c>
      <c r="E21" s="4" t="s">
        <v>139</v>
      </c>
      <c r="F21" s="4" t="s">
        <v>51</v>
      </c>
      <c r="G21" s="11" t="s">
        <v>8</v>
      </c>
      <c r="H21" s="4" t="s">
        <v>140</v>
      </c>
      <c r="I21" s="4" t="s">
        <v>141</v>
      </c>
      <c r="J21" s="4" t="s">
        <v>142</v>
      </c>
      <c r="K21" s="11">
        <v>200</v>
      </c>
      <c r="L21" s="4" t="s">
        <v>143</v>
      </c>
      <c r="M21" s="11" t="s">
        <v>13</v>
      </c>
      <c r="N21" s="4"/>
      <c r="O21" s="4"/>
      <c r="P21" s="9"/>
      <c r="Q21" s="4"/>
    </row>
    <row r="22" spans="1:17" ht="57.95" customHeight="1">
      <c r="A22" s="7" t="s">
        <v>144</v>
      </c>
      <c r="B22" s="4" t="s">
        <v>119</v>
      </c>
      <c r="C22" s="4" t="s">
        <v>145</v>
      </c>
      <c r="D22" s="11" t="s">
        <v>65</v>
      </c>
      <c r="E22" s="4" t="s">
        <v>139</v>
      </c>
      <c r="F22" s="4" t="s">
        <v>59</v>
      </c>
      <c r="G22" s="11" t="s">
        <v>10</v>
      </c>
      <c r="H22" s="4" t="s">
        <v>146</v>
      </c>
      <c r="I22" s="4" t="s">
        <v>147</v>
      </c>
      <c r="J22" s="4" t="s">
        <v>142</v>
      </c>
      <c r="K22" s="11">
        <v>400</v>
      </c>
      <c r="L22" s="4" t="s">
        <v>148</v>
      </c>
      <c r="M22" s="11" t="s">
        <v>13</v>
      </c>
      <c r="N22" s="4"/>
      <c r="O22" s="4"/>
      <c r="P22" s="9"/>
      <c r="Q22" s="4"/>
    </row>
    <row r="23" spans="1:17" ht="57.95" customHeight="1">
      <c r="A23" s="7" t="s">
        <v>149</v>
      </c>
      <c r="B23" s="4" t="s">
        <v>119</v>
      </c>
      <c r="C23" s="4" t="s">
        <v>150</v>
      </c>
      <c r="D23" s="11" t="s">
        <v>65</v>
      </c>
      <c r="E23" s="4" t="s">
        <v>139</v>
      </c>
      <c r="F23" s="4" t="s">
        <v>151</v>
      </c>
      <c r="G23" s="11" t="s">
        <v>10</v>
      </c>
      <c r="H23" s="4" t="s">
        <v>152</v>
      </c>
      <c r="I23" s="4" t="s">
        <v>153</v>
      </c>
      <c r="J23" s="4" t="s">
        <v>142</v>
      </c>
      <c r="K23" s="11">
        <v>400</v>
      </c>
      <c r="L23" s="4" t="s">
        <v>154</v>
      </c>
      <c r="M23" s="11" t="s">
        <v>13</v>
      </c>
      <c r="N23" s="4"/>
      <c r="O23" s="4"/>
      <c r="P23" s="9"/>
      <c r="Q23" s="4"/>
    </row>
    <row r="24" spans="1:17" ht="57.95" customHeight="1">
      <c r="A24" s="7" t="s">
        <v>155</v>
      </c>
      <c r="B24" s="4" t="s">
        <v>119</v>
      </c>
      <c r="C24" s="4" t="s">
        <v>156</v>
      </c>
      <c r="D24" s="11" t="s">
        <v>65</v>
      </c>
      <c r="E24" s="4" t="s">
        <v>139</v>
      </c>
      <c r="F24" s="4" t="s">
        <v>110</v>
      </c>
      <c r="G24" s="11" t="s">
        <v>10</v>
      </c>
      <c r="H24" s="4" t="s">
        <v>146</v>
      </c>
      <c r="I24" s="4" t="s">
        <v>157</v>
      </c>
      <c r="J24" s="4" t="s">
        <v>158</v>
      </c>
      <c r="K24" s="11">
        <v>429</v>
      </c>
      <c r="L24" s="4" t="s">
        <v>159</v>
      </c>
      <c r="M24" s="11" t="s">
        <v>13</v>
      </c>
      <c r="N24" s="4"/>
      <c r="O24" s="4"/>
      <c r="P24" s="9"/>
      <c r="Q24" s="4"/>
    </row>
    <row r="25" spans="1:17" ht="57.95" customHeight="1">
      <c r="A25" s="7" t="s">
        <v>160</v>
      </c>
      <c r="B25" s="4" t="s">
        <v>119</v>
      </c>
      <c r="C25" s="4" t="s">
        <v>161</v>
      </c>
      <c r="D25" s="11" t="s">
        <v>65</v>
      </c>
      <c r="E25" s="4" t="s">
        <v>162</v>
      </c>
      <c r="F25" s="4" t="s">
        <v>51</v>
      </c>
      <c r="G25" s="11" t="s">
        <v>8</v>
      </c>
      <c r="H25" s="4" t="s">
        <v>163</v>
      </c>
      <c r="I25" s="4" t="s">
        <v>164</v>
      </c>
      <c r="J25" s="4" t="s">
        <v>165</v>
      </c>
      <c r="K25" s="11">
        <v>200</v>
      </c>
      <c r="L25" s="4" t="s">
        <v>166</v>
      </c>
      <c r="M25" s="11" t="s">
        <v>13</v>
      </c>
      <c r="N25" s="4"/>
      <c r="O25" s="4"/>
      <c r="P25" s="9"/>
      <c r="Q25" s="4"/>
    </row>
    <row r="26" spans="1:17" ht="57.95" customHeight="1">
      <c r="A26" s="7" t="s">
        <v>167</v>
      </c>
      <c r="B26" s="4" t="s">
        <v>119</v>
      </c>
      <c r="C26" s="4" t="s">
        <v>168</v>
      </c>
      <c r="D26" s="11" t="s">
        <v>65</v>
      </c>
      <c r="E26" s="4" t="s">
        <v>162</v>
      </c>
      <c r="F26" s="4" t="s">
        <v>110</v>
      </c>
      <c r="G26" s="11" t="s">
        <v>8</v>
      </c>
      <c r="H26" s="4" t="s">
        <v>101</v>
      </c>
      <c r="I26" s="4" t="s">
        <v>169</v>
      </c>
      <c r="J26" s="4" t="s">
        <v>129</v>
      </c>
      <c r="K26" s="11">
        <v>400</v>
      </c>
      <c r="L26" s="4" t="s">
        <v>170</v>
      </c>
      <c r="M26" s="11" t="s">
        <v>13</v>
      </c>
      <c r="N26" s="4"/>
      <c r="O26" s="4"/>
      <c r="P26" s="9"/>
      <c r="Q26" s="4"/>
    </row>
    <row r="27" spans="1:17" ht="57.95" customHeight="1">
      <c r="A27" s="7" t="s">
        <v>171</v>
      </c>
      <c r="B27" s="4" t="s">
        <v>119</v>
      </c>
      <c r="C27" s="4" t="s">
        <v>172</v>
      </c>
      <c r="D27" s="11" t="s">
        <v>65</v>
      </c>
      <c r="E27" s="4" t="s">
        <v>162</v>
      </c>
      <c r="F27" s="4" t="s">
        <v>110</v>
      </c>
      <c r="G27" s="11" t="s">
        <v>10</v>
      </c>
      <c r="H27" s="4" t="s">
        <v>173</v>
      </c>
      <c r="I27" s="4" t="s">
        <v>174</v>
      </c>
      <c r="J27" s="4" t="s">
        <v>175</v>
      </c>
      <c r="K27" s="11">
        <v>400</v>
      </c>
      <c r="L27" s="4" t="s">
        <v>176</v>
      </c>
      <c r="M27" s="11" t="s">
        <v>13</v>
      </c>
      <c r="N27" s="4"/>
      <c r="O27" s="4"/>
      <c r="P27" s="9"/>
      <c r="Q27" s="4"/>
    </row>
    <row r="28" spans="1:17" ht="57.95" customHeight="1">
      <c r="A28" s="7" t="s">
        <v>177</v>
      </c>
      <c r="B28" s="4" t="s">
        <v>178</v>
      </c>
      <c r="C28" s="4" t="s">
        <v>179</v>
      </c>
      <c r="D28" s="11" t="s">
        <v>49</v>
      </c>
      <c r="E28" s="4" t="s">
        <v>180</v>
      </c>
      <c r="F28" s="4" t="s">
        <v>51</v>
      </c>
      <c r="G28" s="11" t="s">
        <v>10</v>
      </c>
      <c r="H28" s="4" t="s">
        <v>181</v>
      </c>
      <c r="I28" s="4" t="s">
        <v>182</v>
      </c>
      <c r="J28" s="4" t="s">
        <v>129</v>
      </c>
      <c r="K28" s="11">
        <v>200</v>
      </c>
      <c r="L28" s="4" t="s">
        <v>183</v>
      </c>
      <c r="M28" s="11" t="s">
        <v>13</v>
      </c>
      <c r="N28" s="4"/>
      <c r="O28" s="4"/>
      <c r="P28" s="9"/>
      <c r="Q28" s="4"/>
    </row>
    <row r="29" spans="1:17" ht="57.95" customHeight="1">
      <c r="A29" s="7" t="s">
        <v>184</v>
      </c>
      <c r="B29" s="4" t="s">
        <v>178</v>
      </c>
      <c r="C29" s="4" t="s">
        <v>185</v>
      </c>
      <c r="D29" s="11" t="s">
        <v>49</v>
      </c>
      <c r="E29" s="4" t="s">
        <v>180</v>
      </c>
      <c r="F29" s="4" t="s">
        <v>110</v>
      </c>
      <c r="G29" s="11" t="s">
        <v>8</v>
      </c>
      <c r="H29" s="4" t="s">
        <v>186</v>
      </c>
      <c r="I29" s="4" t="s">
        <v>187</v>
      </c>
      <c r="J29" s="4" t="s">
        <v>129</v>
      </c>
      <c r="K29" s="11">
        <v>401</v>
      </c>
      <c r="L29" s="4" t="s">
        <v>188</v>
      </c>
      <c r="M29" s="11" t="s">
        <v>13</v>
      </c>
      <c r="N29" s="4"/>
      <c r="O29" s="4"/>
      <c r="P29" s="9"/>
      <c r="Q29" s="4"/>
    </row>
    <row r="30" spans="1:17" ht="57.95" customHeight="1">
      <c r="A30" s="7" t="s">
        <v>189</v>
      </c>
      <c r="B30" s="4" t="s">
        <v>178</v>
      </c>
      <c r="C30" s="4" t="s">
        <v>190</v>
      </c>
      <c r="D30" s="11" t="s">
        <v>49</v>
      </c>
      <c r="E30" s="4" t="s">
        <v>180</v>
      </c>
      <c r="F30" s="4" t="s">
        <v>110</v>
      </c>
      <c r="G30" s="11" t="s">
        <v>10</v>
      </c>
      <c r="H30" s="4" t="s">
        <v>191</v>
      </c>
      <c r="I30" s="4" t="s">
        <v>192</v>
      </c>
      <c r="J30" s="4" t="s">
        <v>129</v>
      </c>
      <c r="K30" s="11">
        <v>401</v>
      </c>
      <c r="L30" s="4" t="s">
        <v>193</v>
      </c>
      <c r="M30" s="11" t="s">
        <v>13</v>
      </c>
      <c r="N30" s="4"/>
      <c r="O30" s="4"/>
      <c r="P30" s="9"/>
      <c r="Q30" s="4"/>
    </row>
    <row r="31" spans="1:17" ht="57.95" customHeight="1">
      <c r="A31" s="7" t="s">
        <v>194</v>
      </c>
      <c r="B31" s="4" t="s">
        <v>178</v>
      </c>
      <c r="C31" s="4" t="s">
        <v>195</v>
      </c>
      <c r="D31" s="11" t="s">
        <v>49</v>
      </c>
      <c r="E31" s="4" t="s">
        <v>196</v>
      </c>
      <c r="F31" s="4" t="s">
        <v>51</v>
      </c>
      <c r="G31" s="11" t="s">
        <v>10</v>
      </c>
      <c r="H31" s="4" t="s">
        <v>197</v>
      </c>
      <c r="I31" s="4" t="s">
        <v>198</v>
      </c>
      <c r="J31" s="4" t="s">
        <v>129</v>
      </c>
      <c r="K31" s="11">
        <v>200</v>
      </c>
      <c r="L31" s="4" t="s">
        <v>199</v>
      </c>
      <c r="M31" s="11" t="s">
        <v>13</v>
      </c>
      <c r="N31" s="4"/>
      <c r="O31" s="4"/>
      <c r="P31" s="9"/>
      <c r="Q31" s="4"/>
    </row>
    <row r="32" spans="1:17" ht="57.95" customHeight="1">
      <c r="A32" s="7" t="s">
        <v>200</v>
      </c>
      <c r="B32" s="4" t="s">
        <v>178</v>
      </c>
      <c r="C32" s="4" t="s">
        <v>201</v>
      </c>
      <c r="D32" s="11" t="s">
        <v>202</v>
      </c>
      <c r="E32" s="4" t="s">
        <v>180</v>
      </c>
      <c r="F32" s="4" t="s">
        <v>51</v>
      </c>
      <c r="G32" s="11" t="s">
        <v>10</v>
      </c>
      <c r="H32" s="4" t="s">
        <v>203</v>
      </c>
      <c r="I32" s="4" t="s">
        <v>204</v>
      </c>
      <c r="J32" s="4" t="s">
        <v>205</v>
      </c>
      <c r="K32" s="11">
        <v>200</v>
      </c>
      <c r="L32" s="4" t="s">
        <v>206</v>
      </c>
      <c r="M32" s="11" t="s">
        <v>13</v>
      </c>
      <c r="N32" s="4"/>
      <c r="O32" s="4"/>
      <c r="P32" s="9"/>
      <c r="Q32" s="4"/>
    </row>
    <row r="33" spans="1:17" ht="57.95" customHeight="1">
      <c r="A33" s="7" t="s">
        <v>207</v>
      </c>
      <c r="B33" s="4" t="s">
        <v>178</v>
      </c>
      <c r="C33" s="4" t="s">
        <v>208</v>
      </c>
      <c r="D33" s="11" t="s">
        <v>202</v>
      </c>
      <c r="E33" s="4" t="s">
        <v>180</v>
      </c>
      <c r="F33" s="4" t="s">
        <v>110</v>
      </c>
      <c r="G33" s="11" t="s">
        <v>8</v>
      </c>
      <c r="H33" s="4" t="s">
        <v>209</v>
      </c>
      <c r="I33" s="4" t="s">
        <v>210</v>
      </c>
      <c r="J33" s="4" t="s">
        <v>211</v>
      </c>
      <c r="K33" s="11">
        <v>200</v>
      </c>
      <c r="L33" s="4" t="s">
        <v>212</v>
      </c>
      <c r="M33" s="11" t="s">
        <v>13</v>
      </c>
      <c r="N33" s="4"/>
      <c r="O33" s="4"/>
      <c r="P33" s="9"/>
      <c r="Q33" s="4"/>
    </row>
    <row r="34" spans="1:17" ht="57.95" customHeight="1">
      <c r="A34" s="7" t="s">
        <v>213</v>
      </c>
      <c r="B34" s="4" t="s">
        <v>178</v>
      </c>
      <c r="C34" s="4" t="s">
        <v>214</v>
      </c>
      <c r="D34" s="11" t="s">
        <v>215</v>
      </c>
      <c r="E34" s="4" t="s">
        <v>216</v>
      </c>
      <c r="F34" s="4" t="s">
        <v>51</v>
      </c>
      <c r="G34" s="11" t="s">
        <v>10</v>
      </c>
      <c r="H34" s="4" t="s">
        <v>203</v>
      </c>
      <c r="I34" s="4" t="s">
        <v>217</v>
      </c>
      <c r="J34" s="4" t="s">
        <v>218</v>
      </c>
      <c r="K34" s="11">
        <v>200</v>
      </c>
      <c r="L34" s="4" t="s">
        <v>219</v>
      </c>
      <c r="M34" s="11" t="s">
        <v>13</v>
      </c>
      <c r="N34" s="4"/>
      <c r="O34" s="4"/>
      <c r="P34" s="9"/>
      <c r="Q34" s="4"/>
    </row>
    <row r="35" spans="1:17" ht="57.95" customHeight="1">
      <c r="A35" s="7" t="s">
        <v>220</v>
      </c>
      <c r="B35" s="4" t="s">
        <v>178</v>
      </c>
      <c r="C35" s="4" t="s">
        <v>221</v>
      </c>
      <c r="D35" s="11" t="s">
        <v>215</v>
      </c>
      <c r="E35" s="4" t="s">
        <v>216</v>
      </c>
      <c r="F35" s="4" t="s">
        <v>59</v>
      </c>
      <c r="G35" s="11" t="s">
        <v>12</v>
      </c>
      <c r="H35" s="4" t="s">
        <v>203</v>
      </c>
      <c r="I35" s="4" t="s">
        <v>222</v>
      </c>
      <c r="J35" s="4" t="s">
        <v>223</v>
      </c>
      <c r="K35" s="11">
        <v>400</v>
      </c>
      <c r="L35" s="4" t="s">
        <v>224</v>
      </c>
      <c r="M35" s="11" t="s">
        <v>13</v>
      </c>
      <c r="N35" s="4"/>
      <c r="O35" s="4"/>
      <c r="P35" s="9"/>
      <c r="Q35" s="4"/>
    </row>
    <row r="36" spans="1:17" ht="57.95" customHeight="1">
      <c r="A36" s="7" t="s">
        <v>225</v>
      </c>
      <c r="B36" s="4" t="s">
        <v>178</v>
      </c>
      <c r="C36" s="4" t="s">
        <v>226</v>
      </c>
      <c r="D36" s="11" t="s">
        <v>215</v>
      </c>
      <c r="E36" s="4" t="s">
        <v>216</v>
      </c>
      <c r="F36" s="4" t="s">
        <v>78</v>
      </c>
      <c r="G36" s="11" t="s">
        <v>10</v>
      </c>
      <c r="H36" s="4" t="s">
        <v>203</v>
      </c>
      <c r="I36" s="4" t="s">
        <v>227</v>
      </c>
      <c r="J36" s="4" t="s">
        <v>218</v>
      </c>
      <c r="K36" s="11">
        <v>400</v>
      </c>
      <c r="L36" s="4" t="s">
        <v>228</v>
      </c>
      <c r="M36" s="11" t="s">
        <v>13</v>
      </c>
      <c r="N36" s="4"/>
      <c r="O36" s="4"/>
      <c r="P36" s="9"/>
      <c r="Q36" s="4"/>
    </row>
    <row r="37" spans="1:17" ht="57.95" customHeight="1">
      <c r="A37" s="7" t="s">
        <v>229</v>
      </c>
      <c r="B37" s="4" t="s">
        <v>178</v>
      </c>
      <c r="C37" s="4" t="s">
        <v>230</v>
      </c>
      <c r="D37" s="11" t="s">
        <v>215</v>
      </c>
      <c r="E37" s="4" t="s">
        <v>216</v>
      </c>
      <c r="F37" s="4" t="s">
        <v>151</v>
      </c>
      <c r="G37" s="11" t="s">
        <v>12</v>
      </c>
      <c r="H37" s="4" t="s">
        <v>203</v>
      </c>
      <c r="I37" s="4" t="s">
        <v>231</v>
      </c>
      <c r="J37" s="4" t="s">
        <v>218</v>
      </c>
      <c r="K37" s="11">
        <v>400</v>
      </c>
      <c r="L37" s="4" t="s">
        <v>232</v>
      </c>
      <c r="M37" s="11" t="s">
        <v>13</v>
      </c>
      <c r="N37" s="4"/>
      <c r="O37" s="4"/>
      <c r="P37" s="9"/>
      <c r="Q37" s="4"/>
    </row>
    <row r="38" spans="1:17" ht="57.95" customHeight="1">
      <c r="A38" s="7" t="s">
        <v>233</v>
      </c>
      <c r="B38" s="4" t="s">
        <v>234</v>
      </c>
      <c r="C38" s="4" t="s">
        <v>235</v>
      </c>
      <c r="D38" s="11" t="s">
        <v>49</v>
      </c>
      <c r="E38" s="4" t="s">
        <v>236</v>
      </c>
      <c r="F38" s="4" t="s">
        <v>51</v>
      </c>
      <c r="G38" s="11" t="s">
        <v>8</v>
      </c>
      <c r="H38" s="4" t="s">
        <v>203</v>
      </c>
      <c r="I38" s="4" t="s">
        <v>237</v>
      </c>
      <c r="J38" s="4" t="s">
        <v>129</v>
      </c>
      <c r="K38" s="11">
        <v>200</v>
      </c>
      <c r="L38" s="4" t="s">
        <v>238</v>
      </c>
      <c r="M38" s="11" t="s">
        <v>13</v>
      </c>
      <c r="N38" s="4"/>
      <c r="O38" s="4"/>
      <c r="P38" s="9"/>
      <c r="Q38" s="4"/>
    </row>
    <row r="39" spans="1:17" ht="57.95" customHeight="1">
      <c r="A39" s="7" t="s">
        <v>239</v>
      </c>
      <c r="B39" s="4" t="s">
        <v>234</v>
      </c>
      <c r="C39" s="4" t="s">
        <v>240</v>
      </c>
      <c r="D39" s="11" t="s">
        <v>49</v>
      </c>
      <c r="E39" s="4" t="s">
        <v>236</v>
      </c>
      <c r="F39" s="4" t="s">
        <v>110</v>
      </c>
      <c r="G39" s="11" t="s">
        <v>10</v>
      </c>
      <c r="H39" s="4" t="s">
        <v>186</v>
      </c>
      <c r="I39" s="4" t="s">
        <v>187</v>
      </c>
      <c r="J39" s="4" t="s">
        <v>129</v>
      </c>
      <c r="K39" s="11">
        <v>401</v>
      </c>
      <c r="L39" s="4" t="s">
        <v>241</v>
      </c>
      <c r="M39" s="11" t="s">
        <v>13</v>
      </c>
      <c r="N39" s="4"/>
      <c r="O39" s="4"/>
      <c r="P39" s="9"/>
      <c r="Q39" s="4"/>
    </row>
    <row r="40" spans="1:17" ht="57.95" customHeight="1">
      <c r="A40" s="7" t="s">
        <v>242</v>
      </c>
      <c r="B40" s="4" t="s">
        <v>234</v>
      </c>
      <c r="C40" s="4" t="s">
        <v>243</v>
      </c>
      <c r="D40" s="11" t="s">
        <v>49</v>
      </c>
      <c r="E40" s="4" t="s">
        <v>244</v>
      </c>
      <c r="F40" s="4" t="s">
        <v>51</v>
      </c>
      <c r="G40" s="11" t="s">
        <v>12</v>
      </c>
      <c r="H40" s="4" t="s">
        <v>245</v>
      </c>
      <c r="I40" s="4" t="s">
        <v>246</v>
      </c>
      <c r="J40" s="4" t="s">
        <v>129</v>
      </c>
      <c r="K40" s="11">
        <v>200</v>
      </c>
      <c r="L40" s="4" t="s">
        <v>247</v>
      </c>
      <c r="M40" s="11" t="s">
        <v>13</v>
      </c>
      <c r="N40" s="4"/>
      <c r="O40" s="4"/>
      <c r="P40" s="9"/>
      <c r="Q40" s="4"/>
    </row>
    <row r="41" spans="1:17" ht="57.95" customHeight="1">
      <c r="A41" s="7" t="s">
        <v>248</v>
      </c>
      <c r="B41" s="4" t="s">
        <v>234</v>
      </c>
      <c r="C41" s="4" t="s">
        <v>249</v>
      </c>
      <c r="D41" s="11" t="s">
        <v>49</v>
      </c>
      <c r="E41" s="4" t="s">
        <v>250</v>
      </c>
      <c r="F41" s="4" t="s">
        <v>51</v>
      </c>
      <c r="G41" s="11" t="s">
        <v>12</v>
      </c>
      <c r="H41" s="4" t="s">
        <v>251</v>
      </c>
      <c r="I41" s="4" t="s">
        <v>252</v>
      </c>
      <c r="J41" s="4" t="s">
        <v>129</v>
      </c>
      <c r="K41" s="11">
        <v>200</v>
      </c>
      <c r="L41" s="4" t="s">
        <v>253</v>
      </c>
      <c r="M41" s="11" t="s">
        <v>13</v>
      </c>
      <c r="N41" s="4"/>
      <c r="O41" s="4"/>
      <c r="P41" s="9"/>
      <c r="Q41" s="4"/>
    </row>
    <row r="42" spans="1:17" ht="57.95" customHeight="1">
      <c r="A42" s="7" t="s">
        <v>254</v>
      </c>
      <c r="B42" s="4" t="s">
        <v>234</v>
      </c>
      <c r="C42" s="4" t="s">
        <v>255</v>
      </c>
      <c r="D42" s="11" t="s">
        <v>49</v>
      </c>
      <c r="E42" s="4" t="s">
        <v>256</v>
      </c>
      <c r="F42" s="4" t="s">
        <v>151</v>
      </c>
      <c r="G42" s="11" t="s">
        <v>12</v>
      </c>
      <c r="H42" s="4" t="s">
        <v>257</v>
      </c>
      <c r="I42" s="4" t="s">
        <v>258</v>
      </c>
      <c r="J42" s="4" t="s">
        <v>129</v>
      </c>
      <c r="K42" s="11">
        <v>200</v>
      </c>
      <c r="L42" s="4" t="s">
        <v>259</v>
      </c>
      <c r="M42" s="11" t="s">
        <v>13</v>
      </c>
      <c r="N42" s="4"/>
      <c r="O42" s="4"/>
      <c r="P42" s="9"/>
      <c r="Q42" s="4"/>
    </row>
    <row r="43" spans="1:17" ht="57.95" customHeight="1">
      <c r="A43" s="7" t="s">
        <v>260</v>
      </c>
      <c r="B43" s="4" t="s">
        <v>234</v>
      </c>
      <c r="C43" s="4" t="s">
        <v>261</v>
      </c>
      <c r="D43" s="11" t="s">
        <v>49</v>
      </c>
      <c r="E43" s="4" t="s">
        <v>262</v>
      </c>
      <c r="F43" s="4" t="s">
        <v>51</v>
      </c>
      <c r="G43" s="11" t="s">
        <v>8</v>
      </c>
      <c r="H43" s="4" t="s">
        <v>263</v>
      </c>
      <c r="I43" s="4" t="s">
        <v>264</v>
      </c>
      <c r="J43" s="4" t="s">
        <v>129</v>
      </c>
      <c r="K43" s="11">
        <v>200</v>
      </c>
      <c r="L43" s="4" t="s">
        <v>265</v>
      </c>
      <c r="M43" s="11" t="s">
        <v>13</v>
      </c>
      <c r="N43" s="4"/>
      <c r="O43" s="4"/>
      <c r="P43" s="9"/>
      <c r="Q43" s="4"/>
    </row>
    <row r="44" spans="1:17" ht="57.95" customHeight="1">
      <c r="A44" s="7" t="s">
        <v>266</v>
      </c>
      <c r="B44" s="4" t="s">
        <v>234</v>
      </c>
      <c r="C44" s="4" t="s">
        <v>267</v>
      </c>
      <c r="D44" s="11" t="s">
        <v>49</v>
      </c>
      <c r="E44" s="4" t="s">
        <v>262</v>
      </c>
      <c r="F44" s="4" t="s">
        <v>59</v>
      </c>
      <c r="G44" s="11" t="s">
        <v>10</v>
      </c>
      <c r="H44" s="4" t="s">
        <v>268</v>
      </c>
      <c r="I44" s="4" t="s">
        <v>269</v>
      </c>
      <c r="J44" s="4" t="s">
        <v>129</v>
      </c>
      <c r="K44" s="11">
        <v>404</v>
      </c>
      <c r="L44" s="4" t="s">
        <v>270</v>
      </c>
      <c r="M44" s="11" t="s">
        <v>13</v>
      </c>
      <c r="N44" s="4"/>
      <c r="O44" s="4"/>
      <c r="P44" s="9"/>
      <c r="Q44" s="4"/>
    </row>
    <row r="45" spans="1:17" ht="57.95" customHeight="1">
      <c r="A45" s="7" t="s">
        <v>271</v>
      </c>
      <c r="B45" s="4" t="s">
        <v>234</v>
      </c>
      <c r="C45" s="4" t="s">
        <v>272</v>
      </c>
      <c r="D45" s="11" t="s">
        <v>49</v>
      </c>
      <c r="E45" s="4" t="s">
        <v>273</v>
      </c>
      <c r="F45" s="4" t="s">
        <v>78</v>
      </c>
      <c r="G45" s="11" t="s">
        <v>12</v>
      </c>
      <c r="H45" s="4" t="s">
        <v>268</v>
      </c>
      <c r="I45" s="4" t="s">
        <v>274</v>
      </c>
      <c r="J45" s="4" t="s">
        <v>129</v>
      </c>
      <c r="K45" s="11">
        <v>400</v>
      </c>
      <c r="L45" s="4" t="s">
        <v>275</v>
      </c>
      <c r="M45" s="11" t="s">
        <v>13</v>
      </c>
      <c r="N45" s="4"/>
      <c r="O45" s="4"/>
      <c r="P45" s="9"/>
      <c r="Q45" s="4"/>
    </row>
    <row r="46" spans="1:17" ht="57.95" customHeight="1">
      <c r="A46" s="7" t="s">
        <v>276</v>
      </c>
      <c r="B46" s="4" t="s">
        <v>234</v>
      </c>
      <c r="C46" s="4" t="s">
        <v>277</v>
      </c>
      <c r="D46" s="11" t="s">
        <v>65</v>
      </c>
      <c r="E46" s="4" t="s">
        <v>236</v>
      </c>
      <c r="F46" s="4" t="s">
        <v>51</v>
      </c>
      <c r="G46" s="11" t="s">
        <v>8</v>
      </c>
      <c r="H46" s="4" t="s">
        <v>278</v>
      </c>
      <c r="I46" s="4" t="s">
        <v>279</v>
      </c>
      <c r="J46" s="4" t="s">
        <v>129</v>
      </c>
      <c r="K46" s="11">
        <v>201</v>
      </c>
      <c r="L46" s="4" t="s">
        <v>280</v>
      </c>
      <c r="M46" s="11" t="s">
        <v>13</v>
      </c>
      <c r="N46" s="4"/>
      <c r="O46" s="4"/>
      <c r="P46" s="9"/>
      <c r="Q46" s="4"/>
    </row>
    <row r="47" spans="1:17" ht="57.95" customHeight="1">
      <c r="A47" s="7" t="s">
        <v>281</v>
      </c>
      <c r="B47" s="4" t="s">
        <v>234</v>
      </c>
      <c r="C47" s="4" t="s">
        <v>282</v>
      </c>
      <c r="D47" s="11" t="s">
        <v>65</v>
      </c>
      <c r="E47" s="4" t="s">
        <v>236</v>
      </c>
      <c r="F47" s="4" t="s">
        <v>51</v>
      </c>
      <c r="G47" s="11" t="s">
        <v>10</v>
      </c>
      <c r="H47" s="4" t="s">
        <v>278</v>
      </c>
      <c r="I47" s="4" t="s">
        <v>283</v>
      </c>
      <c r="J47" s="4" t="s">
        <v>129</v>
      </c>
      <c r="K47" s="11">
        <v>201</v>
      </c>
      <c r="L47" s="4" t="s">
        <v>284</v>
      </c>
      <c r="M47" s="11" t="s">
        <v>13</v>
      </c>
      <c r="N47" s="4"/>
      <c r="O47" s="4"/>
      <c r="P47" s="9"/>
      <c r="Q47" s="4"/>
    </row>
    <row r="48" spans="1:17" ht="57.95" customHeight="1">
      <c r="A48" s="7" t="s">
        <v>285</v>
      </c>
      <c r="B48" s="4" t="s">
        <v>234</v>
      </c>
      <c r="C48" s="4" t="s">
        <v>286</v>
      </c>
      <c r="D48" s="11" t="s">
        <v>65</v>
      </c>
      <c r="E48" s="4" t="s">
        <v>236</v>
      </c>
      <c r="F48" s="4" t="s">
        <v>78</v>
      </c>
      <c r="G48" s="11" t="s">
        <v>10</v>
      </c>
      <c r="H48" s="4" t="s">
        <v>278</v>
      </c>
      <c r="I48" s="4" t="s">
        <v>287</v>
      </c>
      <c r="J48" s="4" t="s">
        <v>129</v>
      </c>
      <c r="K48" s="11">
        <v>400</v>
      </c>
      <c r="L48" s="4" t="s">
        <v>288</v>
      </c>
      <c r="M48" s="11" t="s">
        <v>13</v>
      </c>
      <c r="N48" s="4"/>
      <c r="O48" s="4"/>
      <c r="P48" s="9"/>
      <c r="Q48" s="4"/>
    </row>
    <row r="49" spans="1:17" ht="57.95" customHeight="1">
      <c r="A49" s="7" t="s">
        <v>289</v>
      </c>
      <c r="B49" s="4" t="s">
        <v>234</v>
      </c>
      <c r="C49" s="4" t="s">
        <v>290</v>
      </c>
      <c r="D49" s="11" t="s">
        <v>65</v>
      </c>
      <c r="E49" s="4" t="s">
        <v>236</v>
      </c>
      <c r="F49" s="4" t="s">
        <v>110</v>
      </c>
      <c r="G49" s="11" t="s">
        <v>8</v>
      </c>
      <c r="H49" s="4" t="s">
        <v>291</v>
      </c>
      <c r="I49" s="4" t="s">
        <v>292</v>
      </c>
      <c r="J49" s="4" t="s">
        <v>129</v>
      </c>
      <c r="K49" s="11">
        <v>403</v>
      </c>
      <c r="L49" s="4" t="s">
        <v>293</v>
      </c>
      <c r="M49" s="11" t="s">
        <v>13</v>
      </c>
      <c r="N49" s="4"/>
      <c r="O49" s="4"/>
      <c r="P49" s="9"/>
      <c r="Q49" s="4"/>
    </row>
    <row r="50" spans="1:17" ht="57.95" customHeight="1">
      <c r="A50" s="7" t="s">
        <v>294</v>
      </c>
      <c r="B50" s="4" t="s">
        <v>234</v>
      </c>
      <c r="C50" s="4" t="s">
        <v>295</v>
      </c>
      <c r="D50" s="11" t="s">
        <v>202</v>
      </c>
      <c r="E50" s="4" t="s">
        <v>262</v>
      </c>
      <c r="F50" s="4" t="s">
        <v>51</v>
      </c>
      <c r="G50" s="11" t="s">
        <v>10</v>
      </c>
      <c r="H50" s="4" t="s">
        <v>296</v>
      </c>
      <c r="I50" s="4" t="s">
        <v>297</v>
      </c>
      <c r="J50" s="4" t="s">
        <v>298</v>
      </c>
      <c r="K50" s="11">
        <v>200</v>
      </c>
      <c r="L50" s="4" t="s">
        <v>299</v>
      </c>
      <c r="M50" s="11" t="s">
        <v>13</v>
      </c>
      <c r="N50" s="4"/>
      <c r="O50" s="4"/>
      <c r="P50" s="9"/>
      <c r="Q50" s="4"/>
    </row>
    <row r="51" spans="1:17" ht="57.95" customHeight="1">
      <c r="A51" s="7" t="s">
        <v>300</v>
      </c>
      <c r="B51" s="4" t="s">
        <v>234</v>
      </c>
      <c r="C51" s="4" t="s">
        <v>301</v>
      </c>
      <c r="D51" s="11" t="s">
        <v>302</v>
      </c>
      <c r="E51" s="4" t="s">
        <v>262</v>
      </c>
      <c r="F51" s="4" t="s">
        <v>51</v>
      </c>
      <c r="G51" s="11" t="s">
        <v>10</v>
      </c>
      <c r="H51" s="4" t="s">
        <v>303</v>
      </c>
      <c r="I51" s="4" t="s">
        <v>304</v>
      </c>
      <c r="J51" s="4" t="s">
        <v>305</v>
      </c>
      <c r="K51" s="11">
        <v>200</v>
      </c>
      <c r="L51" s="4" t="s">
        <v>306</v>
      </c>
      <c r="M51" s="11" t="s">
        <v>13</v>
      </c>
      <c r="N51" s="4"/>
      <c r="O51" s="4"/>
      <c r="P51" s="9"/>
      <c r="Q51" s="4"/>
    </row>
    <row r="52" spans="1:17" ht="57.95" customHeight="1">
      <c r="A52" s="7" t="s">
        <v>307</v>
      </c>
      <c r="B52" s="4" t="s">
        <v>234</v>
      </c>
      <c r="C52" s="4" t="s">
        <v>308</v>
      </c>
      <c r="D52" s="11" t="s">
        <v>302</v>
      </c>
      <c r="E52" s="4" t="s">
        <v>262</v>
      </c>
      <c r="F52" s="4" t="s">
        <v>110</v>
      </c>
      <c r="G52" s="11" t="s">
        <v>8</v>
      </c>
      <c r="H52" s="4" t="s">
        <v>291</v>
      </c>
      <c r="I52" s="4" t="s">
        <v>304</v>
      </c>
      <c r="J52" s="4" t="s">
        <v>309</v>
      </c>
      <c r="K52" s="11">
        <v>403</v>
      </c>
      <c r="L52" s="4" t="s">
        <v>310</v>
      </c>
      <c r="M52" s="11" t="s">
        <v>13</v>
      </c>
      <c r="N52" s="4"/>
      <c r="O52" s="4"/>
      <c r="P52" s="9"/>
      <c r="Q52" s="4"/>
    </row>
    <row r="53" spans="1:17" ht="57.95" customHeight="1">
      <c r="A53" s="7" t="s">
        <v>311</v>
      </c>
      <c r="B53" s="4" t="s">
        <v>312</v>
      </c>
      <c r="C53" s="4" t="s">
        <v>313</v>
      </c>
      <c r="D53" s="11" t="s">
        <v>65</v>
      </c>
      <c r="E53" s="4" t="s">
        <v>314</v>
      </c>
      <c r="F53" s="4" t="s">
        <v>51</v>
      </c>
      <c r="G53" s="11" t="s">
        <v>10</v>
      </c>
      <c r="H53" s="4" t="s">
        <v>315</v>
      </c>
      <c r="I53" s="4" t="s">
        <v>316</v>
      </c>
      <c r="J53" s="4" t="s">
        <v>317</v>
      </c>
      <c r="K53" s="11">
        <v>201</v>
      </c>
      <c r="L53" s="4" t="s">
        <v>318</v>
      </c>
      <c r="M53" s="11" t="s">
        <v>13</v>
      </c>
      <c r="N53" s="4"/>
      <c r="O53" s="4"/>
      <c r="P53" s="9"/>
      <c r="Q53" s="4"/>
    </row>
    <row r="54" spans="1:17" ht="57.95" customHeight="1">
      <c r="A54" s="7" t="s">
        <v>319</v>
      </c>
      <c r="B54" s="4" t="s">
        <v>312</v>
      </c>
      <c r="C54" s="4" t="s">
        <v>320</v>
      </c>
      <c r="D54" s="11" t="s">
        <v>65</v>
      </c>
      <c r="E54" s="4" t="s">
        <v>314</v>
      </c>
      <c r="F54" s="4" t="s">
        <v>78</v>
      </c>
      <c r="G54" s="11" t="s">
        <v>10</v>
      </c>
      <c r="H54" s="4" t="s">
        <v>291</v>
      </c>
      <c r="I54" s="4" t="s">
        <v>321</v>
      </c>
      <c r="J54" s="4" t="s">
        <v>129</v>
      </c>
      <c r="K54" s="11">
        <v>400</v>
      </c>
      <c r="L54" s="4" t="s">
        <v>322</v>
      </c>
      <c r="M54" s="11" t="s">
        <v>13</v>
      </c>
      <c r="N54" s="4"/>
      <c r="O54" s="4"/>
      <c r="P54" s="9"/>
      <c r="Q54" s="4"/>
    </row>
    <row r="55" spans="1:17" ht="57.95" customHeight="1">
      <c r="A55" s="7" t="s">
        <v>323</v>
      </c>
      <c r="B55" s="4" t="s">
        <v>312</v>
      </c>
      <c r="C55" s="4" t="s">
        <v>324</v>
      </c>
      <c r="D55" s="11" t="s">
        <v>65</v>
      </c>
      <c r="E55" s="4" t="s">
        <v>314</v>
      </c>
      <c r="F55" s="4" t="s">
        <v>78</v>
      </c>
      <c r="G55" s="11" t="s">
        <v>12</v>
      </c>
      <c r="H55" s="4" t="s">
        <v>291</v>
      </c>
      <c r="I55" s="4" t="s">
        <v>325</v>
      </c>
      <c r="J55" s="4" t="s">
        <v>129</v>
      </c>
      <c r="K55" s="11">
        <v>400</v>
      </c>
      <c r="L55" s="4" t="s">
        <v>326</v>
      </c>
      <c r="M55" s="11" t="s">
        <v>13</v>
      </c>
      <c r="N55" s="4"/>
      <c r="O55" s="4"/>
      <c r="P55" s="9"/>
      <c r="Q55" s="4"/>
    </row>
    <row r="56" spans="1:17" ht="57.95" customHeight="1">
      <c r="A56" s="7" t="s">
        <v>327</v>
      </c>
      <c r="B56" s="4" t="s">
        <v>312</v>
      </c>
      <c r="C56" s="4" t="s">
        <v>328</v>
      </c>
      <c r="D56" s="11" t="s">
        <v>65</v>
      </c>
      <c r="E56" s="4" t="s">
        <v>314</v>
      </c>
      <c r="F56" s="4" t="s">
        <v>59</v>
      </c>
      <c r="G56" s="11" t="s">
        <v>10</v>
      </c>
      <c r="H56" s="4" t="s">
        <v>329</v>
      </c>
      <c r="I56" s="4" t="s">
        <v>330</v>
      </c>
      <c r="J56" s="4" t="s">
        <v>129</v>
      </c>
      <c r="K56" s="11">
        <v>400</v>
      </c>
      <c r="L56" s="4" t="s">
        <v>331</v>
      </c>
      <c r="M56" s="11" t="s">
        <v>13</v>
      </c>
      <c r="N56" s="4"/>
      <c r="O56" s="4"/>
      <c r="P56" s="9"/>
      <c r="Q56" s="4"/>
    </row>
    <row r="57" spans="1:17" ht="57.95" customHeight="1">
      <c r="A57" s="7" t="s">
        <v>332</v>
      </c>
      <c r="B57" s="4" t="s">
        <v>312</v>
      </c>
      <c r="C57" s="4" t="s">
        <v>333</v>
      </c>
      <c r="D57" s="11" t="s">
        <v>202</v>
      </c>
      <c r="E57" s="4" t="s">
        <v>334</v>
      </c>
      <c r="F57" s="4" t="s">
        <v>51</v>
      </c>
      <c r="G57" s="11" t="s">
        <v>10</v>
      </c>
      <c r="H57" s="4" t="s">
        <v>335</v>
      </c>
      <c r="I57" s="4" t="s">
        <v>336</v>
      </c>
      <c r="J57" s="4" t="s">
        <v>129</v>
      </c>
      <c r="K57" s="11">
        <v>200</v>
      </c>
      <c r="L57" s="4" t="s">
        <v>337</v>
      </c>
      <c r="M57" s="11" t="s">
        <v>13</v>
      </c>
      <c r="N57" s="4"/>
      <c r="O57" s="4"/>
      <c r="P57" s="9"/>
      <c r="Q57" s="4"/>
    </row>
    <row r="58" spans="1:17" ht="57.95" customHeight="1">
      <c r="A58" s="7" t="s">
        <v>338</v>
      </c>
      <c r="B58" s="4" t="s">
        <v>312</v>
      </c>
      <c r="C58" s="4" t="s">
        <v>339</v>
      </c>
      <c r="D58" s="11" t="s">
        <v>202</v>
      </c>
      <c r="E58" s="4" t="s">
        <v>334</v>
      </c>
      <c r="F58" s="4" t="s">
        <v>110</v>
      </c>
      <c r="G58" s="11" t="s">
        <v>8</v>
      </c>
      <c r="H58" s="4" t="s">
        <v>340</v>
      </c>
      <c r="I58" s="4" t="s">
        <v>336</v>
      </c>
      <c r="J58" s="4" t="s">
        <v>341</v>
      </c>
      <c r="K58" s="11">
        <v>403</v>
      </c>
      <c r="L58" s="4" t="s">
        <v>342</v>
      </c>
      <c r="M58" s="11" t="s">
        <v>13</v>
      </c>
      <c r="N58" s="4"/>
      <c r="O58" s="4"/>
      <c r="P58" s="9"/>
      <c r="Q58" s="4"/>
    </row>
    <row r="59" spans="1:17" ht="57.95" customHeight="1">
      <c r="A59" s="7" t="s">
        <v>343</v>
      </c>
      <c r="B59" s="4" t="s">
        <v>312</v>
      </c>
      <c r="C59" s="4" t="s">
        <v>344</v>
      </c>
      <c r="D59" s="11" t="s">
        <v>302</v>
      </c>
      <c r="E59" s="4" t="s">
        <v>334</v>
      </c>
      <c r="F59" s="4" t="s">
        <v>51</v>
      </c>
      <c r="G59" s="11" t="s">
        <v>10</v>
      </c>
      <c r="H59" s="4" t="s">
        <v>335</v>
      </c>
      <c r="I59" s="4" t="s">
        <v>345</v>
      </c>
      <c r="J59" s="4" t="s">
        <v>129</v>
      </c>
      <c r="K59" s="11">
        <v>200</v>
      </c>
      <c r="L59" s="4" t="s">
        <v>346</v>
      </c>
      <c r="M59" s="11" t="s">
        <v>13</v>
      </c>
      <c r="N59" s="4"/>
      <c r="O59" s="4"/>
      <c r="P59" s="9"/>
      <c r="Q59" s="4"/>
    </row>
    <row r="60" spans="1:17" ht="57.95" customHeight="1">
      <c r="A60" s="7" t="s">
        <v>347</v>
      </c>
      <c r="B60" s="4" t="s">
        <v>312</v>
      </c>
      <c r="C60" s="4" t="s">
        <v>348</v>
      </c>
      <c r="D60" s="11" t="s">
        <v>302</v>
      </c>
      <c r="E60" s="4" t="s">
        <v>334</v>
      </c>
      <c r="F60" s="4" t="s">
        <v>110</v>
      </c>
      <c r="G60" s="11" t="s">
        <v>12</v>
      </c>
      <c r="H60" s="4" t="s">
        <v>349</v>
      </c>
      <c r="I60" s="4" t="s">
        <v>350</v>
      </c>
      <c r="J60" s="4" t="s">
        <v>129</v>
      </c>
      <c r="K60" s="11">
        <v>200</v>
      </c>
      <c r="L60" s="4" t="s">
        <v>351</v>
      </c>
      <c r="M60" s="11" t="s">
        <v>13</v>
      </c>
      <c r="N60" s="4"/>
      <c r="O60" s="4"/>
      <c r="P60" s="9"/>
      <c r="Q60" s="4"/>
    </row>
    <row r="61" spans="1:17" ht="57.95" customHeight="1">
      <c r="A61" s="7" t="s">
        <v>352</v>
      </c>
      <c r="B61" s="4" t="s">
        <v>353</v>
      </c>
      <c r="C61" s="4" t="s">
        <v>354</v>
      </c>
      <c r="D61" s="11" t="s">
        <v>49</v>
      </c>
      <c r="E61" s="4" t="s">
        <v>355</v>
      </c>
      <c r="F61" s="4" t="s">
        <v>51</v>
      </c>
      <c r="G61" s="11" t="s">
        <v>12</v>
      </c>
      <c r="H61" s="4" t="s">
        <v>356</v>
      </c>
      <c r="I61" s="4" t="s">
        <v>357</v>
      </c>
      <c r="J61" s="4" t="s">
        <v>129</v>
      </c>
      <c r="K61" s="11">
        <v>200</v>
      </c>
      <c r="L61" s="4" t="s">
        <v>358</v>
      </c>
      <c r="M61" s="11" t="s">
        <v>13</v>
      </c>
      <c r="N61" s="4"/>
      <c r="O61" s="4"/>
      <c r="P61" s="9"/>
      <c r="Q61" s="4"/>
    </row>
    <row r="62" spans="1:17" ht="57.95" customHeight="1">
      <c r="A62" s="7" t="s">
        <v>359</v>
      </c>
      <c r="B62" s="4" t="s">
        <v>353</v>
      </c>
      <c r="C62" s="4" t="s">
        <v>360</v>
      </c>
      <c r="D62" s="11" t="s">
        <v>65</v>
      </c>
      <c r="E62" s="4" t="s">
        <v>361</v>
      </c>
      <c r="F62" s="4" t="s">
        <v>51</v>
      </c>
      <c r="G62" s="11" t="s">
        <v>12</v>
      </c>
      <c r="H62" s="4" t="s">
        <v>263</v>
      </c>
      <c r="I62" s="4" t="s">
        <v>304</v>
      </c>
      <c r="J62" s="4" t="s">
        <v>362</v>
      </c>
      <c r="K62" s="11">
        <v>200</v>
      </c>
      <c r="L62" s="4" t="s">
        <v>363</v>
      </c>
      <c r="M62" s="11" t="s">
        <v>13</v>
      </c>
      <c r="N62" s="4"/>
      <c r="O62" s="4"/>
      <c r="P62" s="9"/>
      <c r="Q62" s="4"/>
    </row>
    <row r="63" spans="1:17" ht="57.95" customHeight="1">
      <c r="A63" s="7" t="s">
        <v>364</v>
      </c>
      <c r="B63" s="4" t="s">
        <v>353</v>
      </c>
      <c r="C63" s="4" t="s">
        <v>365</v>
      </c>
      <c r="D63" s="11" t="s">
        <v>65</v>
      </c>
      <c r="E63" s="4" t="s">
        <v>361</v>
      </c>
      <c r="F63" s="4" t="s">
        <v>151</v>
      </c>
      <c r="G63" s="11" t="s">
        <v>14</v>
      </c>
      <c r="H63" s="4" t="s">
        <v>366</v>
      </c>
      <c r="I63" s="4" t="s">
        <v>367</v>
      </c>
      <c r="J63" s="4" t="s">
        <v>175</v>
      </c>
      <c r="K63" s="11">
        <v>200</v>
      </c>
      <c r="L63" s="4" t="s">
        <v>368</v>
      </c>
      <c r="M63" s="11" t="s">
        <v>13</v>
      </c>
      <c r="N63" s="4"/>
      <c r="O63" s="4"/>
      <c r="P63" s="9"/>
      <c r="Q63" s="4"/>
    </row>
    <row r="64" spans="1:17" ht="57.95" customHeight="1">
      <c r="A64" s="7" t="s">
        <v>369</v>
      </c>
      <c r="B64" s="4" t="s">
        <v>353</v>
      </c>
      <c r="C64" s="4" t="s">
        <v>370</v>
      </c>
      <c r="D64" s="11" t="s">
        <v>302</v>
      </c>
      <c r="E64" s="4" t="s">
        <v>361</v>
      </c>
      <c r="F64" s="4" t="s">
        <v>51</v>
      </c>
      <c r="G64" s="11" t="s">
        <v>12</v>
      </c>
      <c r="H64" s="4" t="s">
        <v>371</v>
      </c>
      <c r="I64" s="4" t="s">
        <v>304</v>
      </c>
      <c r="J64" s="4" t="s">
        <v>129</v>
      </c>
      <c r="K64" s="11">
        <v>200</v>
      </c>
      <c r="L64" s="4" t="s">
        <v>372</v>
      </c>
      <c r="M64" s="11" t="s">
        <v>13</v>
      </c>
      <c r="N64" s="4"/>
      <c r="O64" s="4"/>
      <c r="P64" s="9"/>
      <c r="Q64" s="4"/>
    </row>
    <row r="65" spans="1:17" ht="57.95" customHeight="1">
      <c r="A65" s="7" t="s">
        <v>373</v>
      </c>
      <c r="B65" s="4" t="s">
        <v>374</v>
      </c>
      <c r="C65" s="4" t="s">
        <v>375</v>
      </c>
      <c r="D65" s="11" t="s">
        <v>49</v>
      </c>
      <c r="E65" s="4" t="s">
        <v>376</v>
      </c>
      <c r="F65" s="4" t="s">
        <v>51</v>
      </c>
      <c r="G65" s="11" t="s">
        <v>10</v>
      </c>
      <c r="H65" s="4" t="s">
        <v>268</v>
      </c>
      <c r="I65" s="4" t="s">
        <v>357</v>
      </c>
      <c r="J65" s="4" t="s">
        <v>129</v>
      </c>
      <c r="K65" s="11">
        <v>200</v>
      </c>
      <c r="L65" s="4" t="s">
        <v>377</v>
      </c>
      <c r="M65" s="11" t="s">
        <v>13</v>
      </c>
      <c r="N65" s="4"/>
      <c r="O65" s="4"/>
      <c r="P65" s="9"/>
      <c r="Q65" s="4"/>
    </row>
    <row r="66" spans="1:17" ht="57.95" customHeight="1">
      <c r="A66" s="7" t="s">
        <v>378</v>
      </c>
      <c r="B66" s="4" t="s">
        <v>374</v>
      </c>
      <c r="C66" s="4" t="s">
        <v>379</v>
      </c>
      <c r="D66" s="11" t="s">
        <v>65</v>
      </c>
      <c r="E66" s="4" t="s">
        <v>380</v>
      </c>
      <c r="F66" s="4" t="s">
        <v>51</v>
      </c>
      <c r="G66" s="11" t="s">
        <v>8</v>
      </c>
      <c r="H66" s="4" t="s">
        <v>381</v>
      </c>
      <c r="I66" s="4" t="s">
        <v>382</v>
      </c>
      <c r="J66" s="4" t="s">
        <v>129</v>
      </c>
      <c r="K66" s="11">
        <v>201</v>
      </c>
      <c r="L66" s="4" t="s">
        <v>383</v>
      </c>
      <c r="M66" s="11" t="s">
        <v>13</v>
      </c>
      <c r="N66" s="4"/>
      <c r="O66" s="4"/>
      <c r="P66" s="9"/>
      <c r="Q66" s="4"/>
    </row>
    <row r="67" spans="1:17" ht="57.95" customHeight="1">
      <c r="A67" s="7" t="s">
        <v>384</v>
      </c>
      <c r="B67" s="4" t="s">
        <v>374</v>
      </c>
      <c r="C67" s="4" t="s">
        <v>385</v>
      </c>
      <c r="D67" s="11" t="s">
        <v>65</v>
      </c>
      <c r="E67" s="4" t="s">
        <v>380</v>
      </c>
      <c r="F67" s="4" t="s">
        <v>151</v>
      </c>
      <c r="G67" s="11" t="s">
        <v>10</v>
      </c>
      <c r="H67" s="4" t="s">
        <v>386</v>
      </c>
      <c r="I67" s="4" t="s">
        <v>387</v>
      </c>
      <c r="J67" s="4" t="s">
        <v>129</v>
      </c>
      <c r="K67" s="11">
        <v>201</v>
      </c>
      <c r="L67" s="4" t="s">
        <v>388</v>
      </c>
      <c r="M67" s="11" t="s">
        <v>13</v>
      </c>
      <c r="N67" s="4"/>
      <c r="O67" s="4"/>
      <c r="P67" s="9"/>
      <c r="Q67" s="4"/>
    </row>
    <row r="68" spans="1:17" ht="57.95" customHeight="1">
      <c r="A68" s="7" t="s">
        <v>389</v>
      </c>
      <c r="B68" s="4" t="s">
        <v>374</v>
      </c>
      <c r="C68" s="4" t="s">
        <v>390</v>
      </c>
      <c r="D68" s="11" t="s">
        <v>65</v>
      </c>
      <c r="E68" s="4" t="s">
        <v>380</v>
      </c>
      <c r="F68" s="4" t="s">
        <v>78</v>
      </c>
      <c r="G68" s="11" t="s">
        <v>10</v>
      </c>
      <c r="H68" s="4" t="s">
        <v>381</v>
      </c>
      <c r="I68" s="4" t="s">
        <v>391</v>
      </c>
      <c r="J68" s="4" t="s">
        <v>392</v>
      </c>
      <c r="K68" s="11">
        <v>400</v>
      </c>
      <c r="L68" s="4" t="s">
        <v>393</v>
      </c>
      <c r="M68" s="11" t="s">
        <v>13</v>
      </c>
      <c r="N68" s="4"/>
      <c r="O68" s="4"/>
      <c r="P68" s="9"/>
      <c r="Q68" s="4"/>
    </row>
    <row r="69" spans="1:17" ht="57.95" customHeight="1">
      <c r="A69" s="7" t="s">
        <v>394</v>
      </c>
      <c r="B69" s="4" t="s">
        <v>374</v>
      </c>
      <c r="C69" s="4" t="s">
        <v>395</v>
      </c>
      <c r="D69" s="11" t="s">
        <v>65</v>
      </c>
      <c r="E69" s="4" t="s">
        <v>380</v>
      </c>
      <c r="F69" s="4" t="s">
        <v>59</v>
      </c>
      <c r="G69" s="11" t="s">
        <v>10</v>
      </c>
      <c r="H69" s="4" t="s">
        <v>396</v>
      </c>
      <c r="I69" s="4" t="s">
        <v>304</v>
      </c>
      <c r="J69" s="4" t="s">
        <v>129</v>
      </c>
      <c r="K69" s="11">
        <v>404</v>
      </c>
      <c r="L69" s="4" t="s">
        <v>397</v>
      </c>
      <c r="M69" s="11" t="s">
        <v>13</v>
      </c>
      <c r="N69" s="4"/>
      <c r="O69" s="4"/>
      <c r="P69" s="9"/>
      <c r="Q69" s="4"/>
    </row>
    <row r="70" spans="1:17" ht="57.95" customHeight="1">
      <c r="A70" s="7" t="s">
        <v>398</v>
      </c>
      <c r="B70" s="4" t="s">
        <v>374</v>
      </c>
      <c r="C70" s="4" t="s">
        <v>399</v>
      </c>
      <c r="D70" s="11" t="s">
        <v>215</v>
      </c>
      <c r="E70" s="4" t="s">
        <v>380</v>
      </c>
      <c r="F70" s="4" t="s">
        <v>51</v>
      </c>
      <c r="G70" s="11" t="s">
        <v>10</v>
      </c>
      <c r="H70" s="4" t="s">
        <v>400</v>
      </c>
      <c r="I70" s="4" t="s">
        <v>401</v>
      </c>
      <c r="J70" s="4" t="s">
        <v>129</v>
      </c>
      <c r="K70" s="11">
        <v>200</v>
      </c>
      <c r="L70" s="4" t="s">
        <v>402</v>
      </c>
      <c r="M70" s="11" t="s">
        <v>13</v>
      </c>
      <c r="N70" s="4"/>
      <c r="O70" s="4"/>
      <c r="P70" s="9"/>
      <c r="Q70" s="4"/>
    </row>
    <row r="71" spans="1:17" ht="57.95" customHeight="1">
      <c r="A71" s="7" t="s">
        <v>403</v>
      </c>
      <c r="B71" s="4" t="s">
        <v>374</v>
      </c>
      <c r="C71" s="4" t="s">
        <v>404</v>
      </c>
      <c r="D71" s="11" t="s">
        <v>215</v>
      </c>
      <c r="E71" s="4" t="s">
        <v>380</v>
      </c>
      <c r="F71" s="4" t="s">
        <v>59</v>
      </c>
      <c r="G71" s="11" t="s">
        <v>12</v>
      </c>
      <c r="H71" s="4" t="s">
        <v>405</v>
      </c>
      <c r="I71" s="4" t="s">
        <v>382</v>
      </c>
      <c r="J71" s="4" t="s">
        <v>129</v>
      </c>
      <c r="K71" s="11">
        <v>404</v>
      </c>
      <c r="L71" s="4" t="s">
        <v>406</v>
      </c>
      <c r="M71" s="11" t="s">
        <v>13</v>
      </c>
      <c r="N71" s="4"/>
      <c r="O71" s="4"/>
      <c r="P71" s="9"/>
      <c r="Q71" s="4"/>
    </row>
    <row r="72" spans="1:17" ht="57.95" customHeight="1">
      <c r="A72" s="7" t="s">
        <v>407</v>
      </c>
      <c r="B72" s="4" t="s">
        <v>374</v>
      </c>
      <c r="C72" s="4" t="s">
        <v>408</v>
      </c>
      <c r="D72" s="11" t="s">
        <v>302</v>
      </c>
      <c r="E72" s="4" t="s">
        <v>380</v>
      </c>
      <c r="F72" s="4" t="s">
        <v>51</v>
      </c>
      <c r="G72" s="11" t="s">
        <v>10</v>
      </c>
      <c r="H72" s="4" t="s">
        <v>400</v>
      </c>
      <c r="I72" s="4" t="s">
        <v>304</v>
      </c>
      <c r="J72" s="4" t="s">
        <v>129</v>
      </c>
      <c r="K72" s="11">
        <v>200</v>
      </c>
      <c r="L72" s="4" t="s">
        <v>409</v>
      </c>
      <c r="M72" s="11" t="s">
        <v>13</v>
      </c>
      <c r="N72" s="4"/>
      <c r="O72" s="4"/>
      <c r="P72" s="9"/>
      <c r="Q72" s="4"/>
    </row>
    <row r="73" spans="1:17" ht="57.95" customHeight="1">
      <c r="A73" s="7" t="s">
        <v>410</v>
      </c>
      <c r="B73" s="4" t="s">
        <v>374</v>
      </c>
      <c r="C73" s="4" t="s">
        <v>411</v>
      </c>
      <c r="D73" s="11" t="s">
        <v>302</v>
      </c>
      <c r="E73" s="4" t="s">
        <v>376</v>
      </c>
      <c r="F73" s="4" t="s">
        <v>51</v>
      </c>
      <c r="G73" s="11" t="s">
        <v>10</v>
      </c>
      <c r="H73" s="4" t="s">
        <v>412</v>
      </c>
      <c r="I73" s="4" t="s">
        <v>53</v>
      </c>
      <c r="J73" s="4" t="s">
        <v>413</v>
      </c>
      <c r="K73" s="11">
        <v>200</v>
      </c>
      <c r="L73" s="4" t="s">
        <v>414</v>
      </c>
      <c r="M73" s="11" t="s">
        <v>13</v>
      </c>
      <c r="N73" s="4"/>
      <c r="O73" s="4"/>
      <c r="P73" s="9"/>
      <c r="Q73" s="4"/>
    </row>
    <row r="74" spans="1:17" ht="57.95" customHeight="1">
      <c r="A74" s="7" t="s">
        <v>415</v>
      </c>
      <c r="B74" s="4" t="s">
        <v>416</v>
      </c>
      <c r="C74" s="4" t="s">
        <v>417</v>
      </c>
      <c r="D74" s="11" t="s">
        <v>65</v>
      </c>
      <c r="E74" s="4" t="s">
        <v>418</v>
      </c>
      <c r="F74" s="4" t="s">
        <v>51</v>
      </c>
      <c r="G74" s="11" t="s">
        <v>8</v>
      </c>
      <c r="H74" s="4" t="s">
        <v>419</v>
      </c>
      <c r="I74" s="4" t="s">
        <v>420</v>
      </c>
      <c r="J74" s="4" t="s">
        <v>421</v>
      </c>
      <c r="K74" s="11">
        <v>201</v>
      </c>
      <c r="L74" s="4" t="s">
        <v>422</v>
      </c>
      <c r="M74" s="11" t="s">
        <v>13</v>
      </c>
      <c r="N74" s="4"/>
      <c r="O74" s="4"/>
      <c r="P74" s="9"/>
      <c r="Q74" s="4"/>
    </row>
    <row r="75" spans="1:17" ht="57.95" customHeight="1">
      <c r="A75" s="7" t="s">
        <v>423</v>
      </c>
      <c r="B75" s="4" t="s">
        <v>416</v>
      </c>
      <c r="C75" s="4" t="s">
        <v>424</v>
      </c>
      <c r="D75" s="11" t="s">
        <v>65</v>
      </c>
      <c r="E75" s="4" t="s">
        <v>418</v>
      </c>
      <c r="F75" s="4" t="s">
        <v>51</v>
      </c>
      <c r="G75" s="11" t="s">
        <v>8</v>
      </c>
      <c r="H75" s="4" t="s">
        <v>425</v>
      </c>
      <c r="I75" s="4" t="s">
        <v>426</v>
      </c>
      <c r="J75" s="4" t="s">
        <v>129</v>
      </c>
      <c r="K75" s="11">
        <v>201</v>
      </c>
      <c r="L75" s="4" t="s">
        <v>427</v>
      </c>
      <c r="M75" s="11" t="s">
        <v>13</v>
      </c>
      <c r="N75" s="4"/>
      <c r="O75" s="4"/>
      <c r="P75" s="9"/>
      <c r="Q75" s="4"/>
    </row>
    <row r="76" spans="1:17" ht="57.95" customHeight="1">
      <c r="A76" s="7" t="s">
        <v>428</v>
      </c>
      <c r="B76" s="4" t="s">
        <v>416</v>
      </c>
      <c r="C76" s="4" t="s">
        <v>429</v>
      </c>
      <c r="D76" s="11" t="s">
        <v>65</v>
      </c>
      <c r="E76" s="4" t="s">
        <v>418</v>
      </c>
      <c r="F76" s="4" t="s">
        <v>51</v>
      </c>
      <c r="G76" s="11" t="s">
        <v>8</v>
      </c>
      <c r="H76" s="4" t="s">
        <v>430</v>
      </c>
      <c r="I76" s="4" t="s">
        <v>431</v>
      </c>
      <c r="J76" s="4" t="s">
        <v>129</v>
      </c>
      <c r="K76" s="11">
        <v>201</v>
      </c>
      <c r="L76" s="4" t="s">
        <v>432</v>
      </c>
      <c r="M76" s="11" t="s">
        <v>13</v>
      </c>
      <c r="N76" s="4"/>
      <c r="O76" s="4"/>
      <c r="P76" s="9"/>
      <c r="Q76" s="4"/>
    </row>
    <row r="77" spans="1:17" ht="57.95" customHeight="1">
      <c r="A77" s="7" t="s">
        <v>433</v>
      </c>
      <c r="B77" s="4" t="s">
        <v>416</v>
      </c>
      <c r="C77" s="4" t="s">
        <v>434</v>
      </c>
      <c r="D77" s="11" t="s">
        <v>65</v>
      </c>
      <c r="E77" s="4" t="s">
        <v>418</v>
      </c>
      <c r="F77" s="4" t="s">
        <v>59</v>
      </c>
      <c r="G77" s="11" t="s">
        <v>10</v>
      </c>
      <c r="H77" s="4" t="s">
        <v>435</v>
      </c>
      <c r="I77" s="4" t="s">
        <v>436</v>
      </c>
      <c r="J77" s="4" t="s">
        <v>129</v>
      </c>
      <c r="K77" s="11">
        <v>400</v>
      </c>
      <c r="L77" s="4" t="s">
        <v>437</v>
      </c>
      <c r="M77" s="11" t="s">
        <v>13</v>
      </c>
      <c r="N77" s="4"/>
      <c r="O77" s="4"/>
      <c r="P77" s="9"/>
      <c r="Q77" s="4"/>
    </row>
    <row r="78" spans="1:17" ht="57.95" customHeight="1">
      <c r="A78" s="7" t="s">
        <v>438</v>
      </c>
      <c r="B78" s="4" t="s">
        <v>416</v>
      </c>
      <c r="C78" s="4" t="s">
        <v>439</v>
      </c>
      <c r="D78" s="11" t="s">
        <v>65</v>
      </c>
      <c r="E78" s="4" t="s">
        <v>418</v>
      </c>
      <c r="F78" s="4" t="s">
        <v>151</v>
      </c>
      <c r="G78" s="11" t="s">
        <v>8</v>
      </c>
      <c r="H78" s="4" t="s">
        <v>440</v>
      </c>
      <c r="I78" s="4" t="s">
        <v>441</v>
      </c>
      <c r="J78" s="4" t="s">
        <v>129</v>
      </c>
      <c r="K78" s="11">
        <v>400</v>
      </c>
      <c r="L78" s="4" t="s">
        <v>442</v>
      </c>
      <c r="M78" s="11" t="s">
        <v>13</v>
      </c>
      <c r="N78" s="4"/>
      <c r="O78" s="4"/>
      <c r="P78" s="9"/>
      <c r="Q78" s="4"/>
    </row>
    <row r="79" spans="1:17" ht="57.95" customHeight="1">
      <c r="A79" s="7" t="s">
        <v>443</v>
      </c>
      <c r="B79" s="4" t="s">
        <v>416</v>
      </c>
      <c r="C79" s="4" t="s">
        <v>444</v>
      </c>
      <c r="D79" s="11" t="s">
        <v>65</v>
      </c>
      <c r="E79" s="4" t="s">
        <v>418</v>
      </c>
      <c r="F79" s="4" t="s">
        <v>78</v>
      </c>
      <c r="G79" s="11" t="s">
        <v>10</v>
      </c>
      <c r="H79" s="4" t="s">
        <v>268</v>
      </c>
      <c r="I79" s="4" t="s">
        <v>445</v>
      </c>
      <c r="J79" s="4" t="s">
        <v>129</v>
      </c>
      <c r="K79" s="11">
        <v>400</v>
      </c>
      <c r="L79" s="4" t="s">
        <v>446</v>
      </c>
      <c r="M79" s="11" t="s">
        <v>13</v>
      </c>
      <c r="N79" s="4"/>
      <c r="O79" s="4"/>
      <c r="P79" s="9"/>
      <c r="Q79" s="4"/>
    </row>
    <row r="80" spans="1:17" ht="57.95" customHeight="1">
      <c r="A80" s="7" t="s">
        <v>447</v>
      </c>
      <c r="B80" s="4" t="s">
        <v>416</v>
      </c>
      <c r="C80" s="4" t="s">
        <v>448</v>
      </c>
      <c r="D80" s="11" t="s">
        <v>65</v>
      </c>
      <c r="E80" s="4" t="s">
        <v>418</v>
      </c>
      <c r="F80" s="4" t="s">
        <v>78</v>
      </c>
      <c r="G80" s="11" t="s">
        <v>10</v>
      </c>
      <c r="H80" s="4" t="s">
        <v>449</v>
      </c>
      <c r="I80" s="4" t="s">
        <v>450</v>
      </c>
      <c r="J80" s="4" t="s">
        <v>129</v>
      </c>
      <c r="K80" s="11">
        <v>400</v>
      </c>
      <c r="L80" s="4" t="s">
        <v>451</v>
      </c>
      <c r="M80" s="11" t="s">
        <v>13</v>
      </c>
      <c r="N80" s="4"/>
      <c r="O80" s="4"/>
      <c r="P80" s="9"/>
      <c r="Q80" s="4"/>
    </row>
    <row r="81" spans="1:17" ht="57.95" customHeight="1">
      <c r="A81" s="7" t="s">
        <v>452</v>
      </c>
      <c r="B81" s="4" t="s">
        <v>416</v>
      </c>
      <c r="C81" s="4" t="s">
        <v>453</v>
      </c>
      <c r="D81" s="11" t="s">
        <v>65</v>
      </c>
      <c r="E81" s="4" t="s">
        <v>418</v>
      </c>
      <c r="F81" s="4" t="s">
        <v>110</v>
      </c>
      <c r="G81" s="11" t="s">
        <v>8</v>
      </c>
      <c r="H81" s="4" t="s">
        <v>449</v>
      </c>
      <c r="I81" s="4" t="s">
        <v>454</v>
      </c>
      <c r="J81" s="4" t="s">
        <v>129</v>
      </c>
      <c r="K81" s="11">
        <v>201</v>
      </c>
      <c r="L81" s="4" t="s">
        <v>455</v>
      </c>
      <c r="M81" s="11" t="s">
        <v>13</v>
      </c>
      <c r="N81" s="4"/>
      <c r="O81" s="4"/>
      <c r="P81" s="9"/>
      <c r="Q81" s="4"/>
    </row>
    <row r="82" spans="1:17" ht="57.95" customHeight="1">
      <c r="A82" s="7" t="s">
        <v>456</v>
      </c>
      <c r="B82" s="4" t="s">
        <v>416</v>
      </c>
      <c r="C82" s="4" t="s">
        <v>457</v>
      </c>
      <c r="D82" s="11" t="s">
        <v>49</v>
      </c>
      <c r="E82" s="4" t="s">
        <v>458</v>
      </c>
      <c r="F82" s="4" t="s">
        <v>51</v>
      </c>
      <c r="G82" s="11" t="s">
        <v>10</v>
      </c>
      <c r="H82" s="4" t="s">
        <v>459</v>
      </c>
      <c r="I82" s="4" t="s">
        <v>357</v>
      </c>
      <c r="J82" s="4" t="s">
        <v>129</v>
      </c>
      <c r="K82" s="11">
        <v>200</v>
      </c>
      <c r="L82" s="4" t="s">
        <v>460</v>
      </c>
      <c r="M82" s="11" t="s">
        <v>13</v>
      </c>
      <c r="N82" s="4"/>
      <c r="O82" s="4"/>
      <c r="P82" s="9"/>
      <c r="Q82" s="4"/>
    </row>
    <row r="83" spans="1:17" ht="57.95" customHeight="1">
      <c r="A83" s="7" t="s">
        <v>461</v>
      </c>
      <c r="B83" s="4" t="s">
        <v>416</v>
      </c>
      <c r="C83" s="4" t="s">
        <v>462</v>
      </c>
      <c r="D83" s="11" t="s">
        <v>49</v>
      </c>
      <c r="E83" s="4" t="s">
        <v>463</v>
      </c>
      <c r="F83" s="4" t="s">
        <v>110</v>
      </c>
      <c r="G83" s="11" t="s">
        <v>8</v>
      </c>
      <c r="H83" s="4" t="s">
        <v>464</v>
      </c>
      <c r="I83" s="4" t="s">
        <v>465</v>
      </c>
      <c r="J83" s="4" t="s">
        <v>129</v>
      </c>
      <c r="K83" s="11">
        <v>404</v>
      </c>
      <c r="L83" s="4" t="s">
        <v>466</v>
      </c>
      <c r="M83" s="11" t="s">
        <v>13</v>
      </c>
      <c r="N83" s="4"/>
      <c r="O83" s="4"/>
      <c r="P83" s="9"/>
      <c r="Q83" s="4"/>
    </row>
    <row r="84" spans="1:17" ht="57.95" customHeight="1">
      <c r="A84" s="7" t="s">
        <v>467</v>
      </c>
      <c r="B84" s="4" t="s">
        <v>416</v>
      </c>
      <c r="C84" s="4" t="s">
        <v>468</v>
      </c>
      <c r="D84" s="11" t="s">
        <v>215</v>
      </c>
      <c r="E84" s="4" t="s">
        <v>469</v>
      </c>
      <c r="F84" s="4" t="s">
        <v>51</v>
      </c>
      <c r="G84" s="11" t="s">
        <v>8</v>
      </c>
      <c r="H84" s="4" t="s">
        <v>470</v>
      </c>
      <c r="I84" s="4" t="s">
        <v>471</v>
      </c>
      <c r="J84" s="4" t="s">
        <v>472</v>
      </c>
      <c r="K84" s="11">
        <v>200</v>
      </c>
      <c r="L84" s="4" t="s">
        <v>473</v>
      </c>
      <c r="M84" s="11" t="s">
        <v>13</v>
      </c>
      <c r="N84" s="4"/>
      <c r="O84" s="4"/>
      <c r="P84" s="9"/>
      <c r="Q84" s="4"/>
    </row>
    <row r="85" spans="1:17" ht="57.95" customHeight="1">
      <c r="A85" s="7" t="s">
        <v>474</v>
      </c>
      <c r="B85" s="4" t="s">
        <v>416</v>
      </c>
      <c r="C85" s="4" t="s">
        <v>475</v>
      </c>
      <c r="D85" s="11" t="s">
        <v>215</v>
      </c>
      <c r="E85" s="4" t="s">
        <v>469</v>
      </c>
      <c r="F85" s="4" t="s">
        <v>59</v>
      </c>
      <c r="G85" s="11" t="s">
        <v>10</v>
      </c>
      <c r="H85" s="4" t="s">
        <v>476</v>
      </c>
      <c r="I85" s="4" t="s">
        <v>471</v>
      </c>
      <c r="J85" s="4" t="s">
        <v>129</v>
      </c>
      <c r="K85" s="11">
        <v>400</v>
      </c>
      <c r="L85" s="4" t="s">
        <v>477</v>
      </c>
      <c r="M85" s="11" t="s">
        <v>13</v>
      </c>
      <c r="N85" s="4"/>
      <c r="O85" s="4"/>
      <c r="P85" s="9"/>
      <c r="Q85" s="4"/>
    </row>
    <row r="86" spans="1:17" ht="57.95" customHeight="1">
      <c r="A86" s="7" t="s">
        <v>478</v>
      </c>
      <c r="B86" s="4" t="s">
        <v>479</v>
      </c>
      <c r="C86" s="4" t="s">
        <v>480</v>
      </c>
      <c r="D86" s="11" t="s">
        <v>65</v>
      </c>
      <c r="E86" s="4" t="s">
        <v>481</v>
      </c>
      <c r="F86" s="4" t="s">
        <v>51</v>
      </c>
      <c r="G86" s="11" t="s">
        <v>10</v>
      </c>
      <c r="H86" s="4" t="s">
        <v>482</v>
      </c>
      <c r="I86" s="4" t="s">
        <v>483</v>
      </c>
      <c r="J86" s="4" t="s">
        <v>129</v>
      </c>
      <c r="K86" s="11">
        <v>201</v>
      </c>
      <c r="L86" s="4" t="s">
        <v>484</v>
      </c>
      <c r="M86" s="11" t="s">
        <v>13</v>
      </c>
      <c r="N86" s="4"/>
      <c r="O86" s="4"/>
      <c r="P86" s="9"/>
      <c r="Q86" s="4"/>
    </row>
    <row r="87" spans="1:17" ht="57.95" customHeight="1">
      <c r="A87" s="7" t="s">
        <v>485</v>
      </c>
      <c r="B87" s="4" t="s">
        <v>479</v>
      </c>
      <c r="C87" s="4" t="s">
        <v>486</v>
      </c>
      <c r="D87" s="11" t="s">
        <v>65</v>
      </c>
      <c r="E87" s="4" t="s">
        <v>481</v>
      </c>
      <c r="F87" s="4" t="s">
        <v>51</v>
      </c>
      <c r="G87" s="11" t="s">
        <v>10</v>
      </c>
      <c r="H87" s="4" t="s">
        <v>53</v>
      </c>
      <c r="I87" s="4" t="s">
        <v>487</v>
      </c>
      <c r="J87" s="4" t="s">
        <v>129</v>
      </c>
      <c r="K87" s="11">
        <v>201</v>
      </c>
      <c r="L87" s="4" t="s">
        <v>488</v>
      </c>
      <c r="M87" s="11" t="s">
        <v>13</v>
      </c>
      <c r="N87" s="4"/>
      <c r="O87" s="4"/>
      <c r="P87" s="9"/>
      <c r="Q87" s="4"/>
    </row>
    <row r="88" spans="1:17" ht="57.95" customHeight="1">
      <c r="A88" s="7" t="s">
        <v>489</v>
      </c>
      <c r="B88" s="4" t="s">
        <v>479</v>
      </c>
      <c r="C88" s="4" t="s">
        <v>490</v>
      </c>
      <c r="D88" s="11" t="s">
        <v>65</v>
      </c>
      <c r="E88" s="4" t="s">
        <v>481</v>
      </c>
      <c r="F88" s="4" t="s">
        <v>78</v>
      </c>
      <c r="G88" s="11" t="s">
        <v>10</v>
      </c>
      <c r="H88" s="4" t="s">
        <v>53</v>
      </c>
      <c r="I88" s="4" t="s">
        <v>491</v>
      </c>
      <c r="J88" s="4" t="s">
        <v>492</v>
      </c>
      <c r="K88" s="11">
        <v>400</v>
      </c>
      <c r="L88" s="4" t="s">
        <v>493</v>
      </c>
      <c r="M88" s="11" t="s">
        <v>13</v>
      </c>
      <c r="N88" s="4"/>
      <c r="O88" s="4"/>
      <c r="P88" s="9"/>
      <c r="Q88" s="4"/>
    </row>
    <row r="89" spans="1:17" ht="57.95" customHeight="1">
      <c r="A89" s="7" t="s">
        <v>494</v>
      </c>
      <c r="B89" s="4" t="s">
        <v>479</v>
      </c>
      <c r="C89" s="4" t="s">
        <v>495</v>
      </c>
      <c r="D89" s="11" t="s">
        <v>65</v>
      </c>
      <c r="E89" s="4" t="s">
        <v>481</v>
      </c>
      <c r="F89" s="4" t="s">
        <v>78</v>
      </c>
      <c r="G89" s="11" t="s">
        <v>10</v>
      </c>
      <c r="H89" s="4" t="s">
        <v>53</v>
      </c>
      <c r="I89" s="4" t="s">
        <v>496</v>
      </c>
      <c r="J89" s="4" t="s">
        <v>129</v>
      </c>
      <c r="K89" s="11">
        <v>400</v>
      </c>
      <c r="L89" s="4" t="s">
        <v>497</v>
      </c>
      <c r="M89" s="11" t="s">
        <v>13</v>
      </c>
      <c r="N89" s="4"/>
      <c r="O89" s="4"/>
      <c r="P89" s="9"/>
      <c r="Q89" s="4"/>
    </row>
    <row r="90" spans="1:17" ht="57.95" customHeight="1">
      <c r="A90" s="7" t="s">
        <v>498</v>
      </c>
      <c r="B90" s="4" t="s">
        <v>479</v>
      </c>
      <c r="C90" s="4" t="s">
        <v>499</v>
      </c>
      <c r="D90" s="11" t="s">
        <v>49</v>
      </c>
      <c r="E90" s="4" t="s">
        <v>500</v>
      </c>
      <c r="F90" s="4" t="s">
        <v>51</v>
      </c>
      <c r="G90" s="11" t="s">
        <v>10</v>
      </c>
      <c r="H90" s="4" t="s">
        <v>278</v>
      </c>
      <c r="I90" s="4" t="s">
        <v>501</v>
      </c>
      <c r="J90" s="4" t="s">
        <v>129</v>
      </c>
      <c r="K90" s="11">
        <v>200</v>
      </c>
      <c r="L90" s="4" t="s">
        <v>502</v>
      </c>
      <c r="M90" s="11" t="s">
        <v>13</v>
      </c>
      <c r="N90" s="4"/>
      <c r="O90" s="4"/>
      <c r="P90" s="9"/>
      <c r="Q90" s="4"/>
    </row>
    <row r="91" spans="1:17" ht="57.95" customHeight="1">
      <c r="A91" s="7" t="s">
        <v>503</v>
      </c>
      <c r="B91" s="4" t="s">
        <v>479</v>
      </c>
      <c r="C91" s="4" t="s">
        <v>504</v>
      </c>
      <c r="D91" s="11" t="s">
        <v>49</v>
      </c>
      <c r="E91" s="4" t="s">
        <v>481</v>
      </c>
      <c r="F91" s="4" t="s">
        <v>110</v>
      </c>
      <c r="G91" s="11" t="s">
        <v>8</v>
      </c>
      <c r="H91" s="4" t="s">
        <v>291</v>
      </c>
      <c r="I91" s="4" t="s">
        <v>357</v>
      </c>
      <c r="J91" s="4" t="s">
        <v>129</v>
      </c>
      <c r="K91" s="11">
        <v>403</v>
      </c>
      <c r="L91" s="4" t="s">
        <v>505</v>
      </c>
      <c r="M91" s="11" t="s">
        <v>13</v>
      </c>
      <c r="N91" s="4"/>
      <c r="O91" s="4"/>
      <c r="P91" s="9"/>
      <c r="Q91" s="4"/>
    </row>
    <row r="92" spans="1:17" ht="57.95" customHeight="1">
      <c r="A92" s="7" t="s">
        <v>506</v>
      </c>
      <c r="B92" s="4" t="s">
        <v>479</v>
      </c>
      <c r="C92" s="4" t="s">
        <v>507</v>
      </c>
      <c r="D92" s="11" t="s">
        <v>215</v>
      </c>
      <c r="E92" s="4" t="s">
        <v>508</v>
      </c>
      <c r="F92" s="4" t="s">
        <v>51</v>
      </c>
      <c r="G92" s="11" t="s">
        <v>10</v>
      </c>
      <c r="H92" s="4" t="s">
        <v>509</v>
      </c>
      <c r="I92" s="4" t="s">
        <v>510</v>
      </c>
      <c r="J92" s="4" t="s">
        <v>129</v>
      </c>
      <c r="K92" s="11">
        <v>200</v>
      </c>
      <c r="L92" s="4" t="s">
        <v>511</v>
      </c>
      <c r="M92" s="11" t="s">
        <v>13</v>
      </c>
      <c r="N92" s="4"/>
      <c r="O92" s="4"/>
      <c r="P92" s="9"/>
      <c r="Q92" s="4"/>
    </row>
    <row r="93" spans="1:17" ht="57.95" customHeight="1">
      <c r="A93" s="7" t="s">
        <v>512</v>
      </c>
      <c r="B93" s="4" t="s">
        <v>479</v>
      </c>
      <c r="C93" s="4" t="s">
        <v>513</v>
      </c>
      <c r="D93" s="11" t="s">
        <v>215</v>
      </c>
      <c r="E93" s="4" t="s">
        <v>508</v>
      </c>
      <c r="F93" s="4" t="s">
        <v>78</v>
      </c>
      <c r="G93" s="11" t="s">
        <v>12</v>
      </c>
      <c r="H93" s="4" t="s">
        <v>278</v>
      </c>
      <c r="I93" s="4" t="s">
        <v>514</v>
      </c>
      <c r="J93" s="4" t="s">
        <v>129</v>
      </c>
      <c r="K93" s="11">
        <v>400</v>
      </c>
      <c r="L93" s="4" t="s">
        <v>515</v>
      </c>
      <c r="M93" s="11" t="s">
        <v>13</v>
      </c>
      <c r="N93" s="4"/>
      <c r="O93" s="4"/>
      <c r="P93" s="9"/>
      <c r="Q93" s="4"/>
    </row>
    <row r="94" spans="1:17" ht="57.95" customHeight="1">
      <c r="A94" s="7" t="s">
        <v>516</v>
      </c>
      <c r="B94" s="4" t="s">
        <v>479</v>
      </c>
      <c r="C94" s="4" t="s">
        <v>517</v>
      </c>
      <c r="D94" s="11" t="s">
        <v>65</v>
      </c>
      <c r="E94" s="4" t="s">
        <v>481</v>
      </c>
      <c r="F94" s="4" t="s">
        <v>110</v>
      </c>
      <c r="G94" s="11" t="s">
        <v>10</v>
      </c>
      <c r="H94" s="4" t="s">
        <v>53</v>
      </c>
      <c r="I94" s="4" t="s">
        <v>518</v>
      </c>
      <c r="J94" s="4" t="s">
        <v>519</v>
      </c>
      <c r="K94" s="11">
        <v>201</v>
      </c>
      <c r="L94" s="4" t="s">
        <v>520</v>
      </c>
      <c r="M94" s="11" t="s">
        <v>13</v>
      </c>
      <c r="N94" s="4"/>
      <c r="O94" s="4"/>
      <c r="P94" s="9"/>
      <c r="Q94" s="4"/>
    </row>
    <row r="95" spans="1:17" ht="57.95" customHeight="1">
      <c r="A95" s="7" t="s">
        <v>521</v>
      </c>
      <c r="B95" s="4" t="s">
        <v>522</v>
      </c>
      <c r="C95" s="4" t="s">
        <v>523</v>
      </c>
      <c r="D95" s="11" t="s">
        <v>65</v>
      </c>
      <c r="E95" s="4" t="s">
        <v>524</v>
      </c>
      <c r="F95" s="4" t="s">
        <v>51</v>
      </c>
      <c r="G95" s="11" t="s">
        <v>10</v>
      </c>
      <c r="H95" s="4" t="s">
        <v>482</v>
      </c>
      <c r="I95" s="4" t="s">
        <v>525</v>
      </c>
      <c r="J95" s="4" t="s">
        <v>129</v>
      </c>
      <c r="K95" s="11">
        <v>201</v>
      </c>
      <c r="L95" s="4" t="s">
        <v>526</v>
      </c>
      <c r="M95" s="11" t="s">
        <v>13</v>
      </c>
      <c r="N95" s="4"/>
      <c r="O95" s="4"/>
      <c r="P95" s="9"/>
      <c r="Q95" s="4"/>
    </row>
    <row r="96" spans="1:17" ht="57.95" customHeight="1">
      <c r="A96" s="7" t="s">
        <v>527</v>
      </c>
      <c r="B96" s="4" t="s">
        <v>522</v>
      </c>
      <c r="C96" s="4" t="s">
        <v>528</v>
      </c>
      <c r="D96" s="11" t="s">
        <v>65</v>
      </c>
      <c r="E96" s="4" t="s">
        <v>524</v>
      </c>
      <c r="F96" s="4" t="s">
        <v>78</v>
      </c>
      <c r="G96" s="11" t="s">
        <v>10</v>
      </c>
      <c r="H96" s="4" t="s">
        <v>53</v>
      </c>
      <c r="I96" s="4" t="s">
        <v>529</v>
      </c>
      <c r="J96" s="4" t="s">
        <v>492</v>
      </c>
      <c r="K96" s="11">
        <v>400</v>
      </c>
      <c r="L96" s="4" t="s">
        <v>530</v>
      </c>
      <c r="M96" s="11" t="s">
        <v>13</v>
      </c>
      <c r="N96" s="4"/>
      <c r="O96" s="4"/>
      <c r="P96" s="9"/>
      <c r="Q96" s="4"/>
    </row>
    <row r="97" spans="1:17" ht="57.95" customHeight="1">
      <c r="A97" s="7" t="s">
        <v>531</v>
      </c>
      <c r="B97" s="4" t="s">
        <v>522</v>
      </c>
      <c r="C97" s="4" t="s">
        <v>532</v>
      </c>
      <c r="D97" s="11" t="s">
        <v>65</v>
      </c>
      <c r="E97" s="4" t="s">
        <v>524</v>
      </c>
      <c r="F97" s="4" t="s">
        <v>78</v>
      </c>
      <c r="G97" s="11" t="s">
        <v>10</v>
      </c>
      <c r="H97" s="4" t="s">
        <v>53</v>
      </c>
      <c r="I97" s="4" t="s">
        <v>128</v>
      </c>
      <c r="J97" s="4" t="s">
        <v>129</v>
      </c>
      <c r="K97" s="11">
        <v>400</v>
      </c>
      <c r="L97" s="4" t="s">
        <v>533</v>
      </c>
      <c r="M97" s="11" t="s">
        <v>13</v>
      </c>
      <c r="N97" s="4"/>
      <c r="O97" s="4"/>
      <c r="P97" s="9"/>
      <c r="Q97" s="4"/>
    </row>
    <row r="98" spans="1:17" ht="57.95" customHeight="1">
      <c r="A98" s="7" t="s">
        <v>534</v>
      </c>
      <c r="B98" s="4" t="s">
        <v>522</v>
      </c>
      <c r="C98" s="4" t="s">
        <v>535</v>
      </c>
      <c r="D98" s="11" t="s">
        <v>65</v>
      </c>
      <c r="E98" s="4" t="s">
        <v>524</v>
      </c>
      <c r="F98" s="4" t="s">
        <v>151</v>
      </c>
      <c r="G98" s="11" t="s">
        <v>12</v>
      </c>
      <c r="H98" s="4" t="s">
        <v>53</v>
      </c>
      <c r="I98" s="4" t="s">
        <v>536</v>
      </c>
      <c r="J98" s="4" t="s">
        <v>129</v>
      </c>
      <c r="K98" s="11">
        <v>400</v>
      </c>
      <c r="L98" s="4" t="s">
        <v>537</v>
      </c>
      <c r="M98" s="11" t="s">
        <v>13</v>
      </c>
      <c r="N98" s="4"/>
      <c r="O98" s="4"/>
      <c r="P98" s="9"/>
      <c r="Q98" s="4"/>
    </row>
    <row r="99" spans="1:17" ht="57.95" customHeight="1">
      <c r="A99" s="7" t="s">
        <v>538</v>
      </c>
      <c r="B99" s="4" t="s">
        <v>522</v>
      </c>
      <c r="C99" s="4" t="s">
        <v>539</v>
      </c>
      <c r="D99" s="11" t="s">
        <v>49</v>
      </c>
      <c r="E99" s="4" t="s">
        <v>540</v>
      </c>
      <c r="F99" s="4" t="s">
        <v>51</v>
      </c>
      <c r="G99" s="11" t="s">
        <v>10</v>
      </c>
      <c r="H99" s="4" t="s">
        <v>278</v>
      </c>
      <c r="I99" s="4" t="s">
        <v>541</v>
      </c>
      <c r="J99" s="4" t="s">
        <v>129</v>
      </c>
      <c r="K99" s="11">
        <v>200</v>
      </c>
      <c r="L99" s="4" t="s">
        <v>542</v>
      </c>
      <c r="M99" s="11" t="s">
        <v>13</v>
      </c>
      <c r="N99" s="4"/>
      <c r="O99" s="4"/>
      <c r="P99" s="9"/>
      <c r="Q99" s="4"/>
    </row>
    <row r="100" spans="1:17" ht="57.95" customHeight="1">
      <c r="A100" s="7" t="s">
        <v>543</v>
      </c>
      <c r="B100" s="4" t="s">
        <v>522</v>
      </c>
      <c r="C100" s="4" t="s">
        <v>544</v>
      </c>
      <c r="D100" s="11" t="s">
        <v>49</v>
      </c>
      <c r="E100" s="4" t="s">
        <v>524</v>
      </c>
      <c r="F100" s="4" t="s">
        <v>110</v>
      </c>
      <c r="G100" s="11" t="s">
        <v>8</v>
      </c>
      <c r="H100" s="4" t="s">
        <v>291</v>
      </c>
      <c r="I100" s="4" t="s">
        <v>357</v>
      </c>
      <c r="J100" s="4" t="s">
        <v>129</v>
      </c>
      <c r="K100" s="11">
        <v>403</v>
      </c>
      <c r="L100" s="4" t="s">
        <v>545</v>
      </c>
      <c r="M100" s="11" t="s">
        <v>13</v>
      </c>
      <c r="N100" s="4"/>
      <c r="O100" s="4"/>
      <c r="P100" s="9"/>
      <c r="Q100" s="4"/>
    </row>
    <row r="101" spans="1:17" ht="57.95" customHeight="1">
      <c r="A101" s="7" t="s">
        <v>546</v>
      </c>
      <c r="B101" s="4" t="s">
        <v>522</v>
      </c>
      <c r="C101" s="4" t="s">
        <v>547</v>
      </c>
      <c r="D101" s="11" t="s">
        <v>49</v>
      </c>
      <c r="E101" s="4" t="s">
        <v>548</v>
      </c>
      <c r="F101" s="4" t="s">
        <v>51</v>
      </c>
      <c r="G101" s="11" t="s">
        <v>12</v>
      </c>
      <c r="H101" s="4" t="s">
        <v>549</v>
      </c>
      <c r="I101" s="4" t="s">
        <v>550</v>
      </c>
      <c r="J101" s="4" t="s">
        <v>129</v>
      </c>
      <c r="K101" s="11">
        <v>200</v>
      </c>
      <c r="L101" s="4" t="s">
        <v>551</v>
      </c>
      <c r="M101" s="11" t="s">
        <v>13</v>
      </c>
      <c r="N101" s="4"/>
      <c r="O101" s="4"/>
      <c r="P101" s="9"/>
      <c r="Q101" s="4"/>
    </row>
    <row r="102" spans="1:17" ht="57.95" customHeight="1">
      <c r="A102" s="7" t="s">
        <v>552</v>
      </c>
      <c r="B102" s="4" t="s">
        <v>522</v>
      </c>
      <c r="C102" s="4" t="s">
        <v>507</v>
      </c>
      <c r="D102" s="11" t="s">
        <v>215</v>
      </c>
      <c r="E102" s="4" t="s">
        <v>548</v>
      </c>
      <c r="F102" s="4" t="s">
        <v>51</v>
      </c>
      <c r="G102" s="11" t="s">
        <v>10</v>
      </c>
      <c r="H102" s="4" t="s">
        <v>278</v>
      </c>
      <c r="I102" s="4" t="s">
        <v>553</v>
      </c>
      <c r="J102" s="4" t="s">
        <v>129</v>
      </c>
      <c r="K102" s="11">
        <v>200</v>
      </c>
      <c r="L102" s="4" t="s">
        <v>511</v>
      </c>
      <c r="M102" s="11" t="s">
        <v>13</v>
      </c>
      <c r="N102" s="4"/>
      <c r="O102" s="4"/>
      <c r="P102" s="9"/>
      <c r="Q102" s="4"/>
    </row>
    <row r="103" spans="1:17" ht="57.95" customHeight="1">
      <c r="A103" s="8" t="s">
        <v>554</v>
      </c>
      <c r="B103" s="5" t="s">
        <v>522</v>
      </c>
      <c r="C103" s="5" t="s">
        <v>555</v>
      </c>
      <c r="D103" s="12" t="s">
        <v>65</v>
      </c>
      <c r="E103" s="5" t="s">
        <v>524</v>
      </c>
      <c r="F103" s="5" t="s">
        <v>110</v>
      </c>
      <c r="G103" s="12" t="s">
        <v>10</v>
      </c>
      <c r="H103" s="5" t="s">
        <v>53</v>
      </c>
      <c r="I103" s="5" t="s">
        <v>556</v>
      </c>
      <c r="J103" s="5" t="s">
        <v>124</v>
      </c>
      <c r="K103" s="12">
        <v>201</v>
      </c>
      <c r="L103" s="5" t="s">
        <v>557</v>
      </c>
      <c r="M103" s="11" t="s">
        <v>13</v>
      </c>
      <c r="N103" s="5"/>
      <c r="O103" s="5"/>
      <c r="P103" s="10"/>
      <c r="Q103" s="5"/>
    </row>
  </sheetData>
  <conditionalFormatting sqref="M6:M103">
    <cfRule type="containsText" dxfId="6" priority="1" operator="containsText" text="Passed"/>
    <cfRule type="containsText" dxfId="5" priority="2" operator="containsText" text="Failed"/>
    <cfRule type="containsText" dxfId="4" priority="3" operator="containsText" text="Blocked"/>
    <cfRule type="containsText" dxfId="3" priority="4" operator="containsText" text="In Progress"/>
    <cfRule type="containsText" dxfId="2" priority="5" operator="containsText" text="Not Run"/>
  </conditionalFormatting>
  <conditionalFormatting sqref="G6:G103">
    <cfRule type="containsText" dxfId="1" priority="6" operator="containsText" text="Critical"/>
    <cfRule type="containsText" dxfId="0" priority="7" operator="containsText" text="High"/>
  </conditionalFormatting>
  <dataValidations count="2">
    <dataValidation type="list" sqref="M6:M103" xr:uid="{00000000-0002-0000-0100-000000000000}">
      <formula1>"Not Run,In Progress,Passed,Failed,Blocked,N/A"</formula1>
    </dataValidation>
    <dataValidation type="list" sqref="G6:G103" xr:uid="{00000000-0002-0000-01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B7C2"/>
  </sheetPr>
  <dimension ref="A2:N57"/>
  <sheetViews>
    <sheetView showGridLines="0" tabSelected="1" workbookViewId="0">
      <pane xSplit="2" ySplit="5" topLeftCell="F6" activePane="bottomRight" state="frozen"/>
      <selection pane="topRight"/>
      <selection pane="bottomLeft"/>
      <selection pane="bottomRight" activeCell="K50" sqref="K50"/>
    </sheetView>
  </sheetViews>
  <sheetFormatPr defaultRowHeight="14.25"/>
  <cols>
    <col min="1" max="1" width="13" customWidth="1"/>
    <col min="2" max="2" width="20" customWidth="1"/>
    <col min="3" max="3" width="30" customWidth="1"/>
    <col min="4" max="5" width="14" customWidth="1"/>
    <col min="6" max="8" width="34" customWidth="1"/>
    <col min="9" max="9" width="20" customWidth="1"/>
    <col min="10" max="10" width="15" customWidth="1"/>
    <col min="11" max="11" width="30" customWidth="1"/>
    <col min="12" max="12" width="16" customWidth="1"/>
    <col min="13" max="13" width="13" customWidth="1"/>
    <col min="14" max="14" width="24" customWidth="1"/>
  </cols>
  <sheetData>
    <row r="2" spans="1:14" ht="26.1" customHeight="1">
      <c r="A2" s="1" t="s">
        <v>558</v>
      </c>
    </row>
    <row r="3" spans="1:14">
      <c r="A3" s="3" t="s">
        <v>559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 ht="33.950000000000003" customHeight="1">
      <c r="A5" s="6" t="s">
        <v>29</v>
      </c>
      <c r="B5" s="6" t="s">
        <v>560</v>
      </c>
      <c r="C5" s="6" t="s">
        <v>31</v>
      </c>
      <c r="D5" s="6" t="s">
        <v>34</v>
      </c>
      <c r="E5" s="6" t="s">
        <v>35</v>
      </c>
      <c r="F5" s="6" t="s">
        <v>36</v>
      </c>
      <c r="G5" s="6" t="s">
        <v>38</v>
      </c>
      <c r="H5" s="6" t="s">
        <v>40</v>
      </c>
      <c r="I5" s="6" t="s">
        <v>561</v>
      </c>
      <c r="J5" s="6" t="s">
        <v>41</v>
      </c>
      <c r="K5" s="6" t="s">
        <v>42</v>
      </c>
      <c r="L5" s="6" t="s">
        <v>43</v>
      </c>
      <c r="M5" s="6" t="s">
        <v>44</v>
      </c>
      <c r="N5" s="6" t="s">
        <v>45</v>
      </c>
    </row>
    <row r="6" spans="1:14" ht="57.95" customHeight="1">
      <c r="A6" s="7" t="s">
        <v>562</v>
      </c>
      <c r="B6" s="4" t="s">
        <v>563</v>
      </c>
      <c r="C6" s="4" t="s">
        <v>564</v>
      </c>
      <c r="D6" s="11" t="s">
        <v>565</v>
      </c>
      <c r="E6" s="11" t="s">
        <v>10</v>
      </c>
      <c r="F6" s="4" t="s">
        <v>566</v>
      </c>
      <c r="G6" s="4" t="s">
        <v>567</v>
      </c>
      <c r="H6" s="4" t="s">
        <v>568</v>
      </c>
      <c r="I6" s="4" t="s">
        <v>569</v>
      </c>
      <c r="J6" s="11" t="s">
        <v>13</v>
      </c>
      <c r="K6" s="4"/>
      <c r="L6" s="4"/>
      <c r="M6" s="9"/>
      <c r="N6" s="4"/>
    </row>
    <row r="7" spans="1:14" ht="57.95" customHeight="1">
      <c r="A7" s="7" t="s">
        <v>570</v>
      </c>
      <c r="B7" s="4" t="s">
        <v>563</v>
      </c>
      <c r="C7" s="4" t="s">
        <v>93</v>
      </c>
      <c r="D7" s="11" t="s">
        <v>571</v>
      </c>
      <c r="E7" s="11" t="s">
        <v>8</v>
      </c>
      <c r="F7" s="4" t="s">
        <v>572</v>
      </c>
      <c r="G7" s="4" t="s">
        <v>573</v>
      </c>
      <c r="H7" s="4" t="s">
        <v>574</v>
      </c>
      <c r="I7" s="4" t="s">
        <v>575</v>
      </c>
      <c r="J7" s="11" t="s">
        <v>13</v>
      </c>
      <c r="K7" s="4"/>
      <c r="L7" s="4"/>
      <c r="M7" s="9"/>
      <c r="N7" s="4"/>
    </row>
    <row r="8" spans="1:14" ht="57.95" customHeight="1">
      <c r="A8" s="7" t="s">
        <v>576</v>
      </c>
      <c r="B8" s="4" t="s">
        <v>563</v>
      </c>
      <c r="C8" s="4" t="s">
        <v>577</v>
      </c>
      <c r="D8" s="11" t="s">
        <v>78</v>
      </c>
      <c r="E8" s="11" t="s">
        <v>10</v>
      </c>
      <c r="F8" s="4" t="s">
        <v>578</v>
      </c>
      <c r="G8" s="4" t="s">
        <v>579</v>
      </c>
      <c r="H8" s="4" t="s">
        <v>580</v>
      </c>
      <c r="I8" s="4" t="s">
        <v>581</v>
      </c>
      <c r="J8" s="11" t="s">
        <v>13</v>
      </c>
      <c r="K8" s="4"/>
      <c r="L8" s="4"/>
      <c r="M8" s="9"/>
      <c r="N8" s="4"/>
    </row>
    <row r="9" spans="1:14" ht="57.95" customHeight="1">
      <c r="A9" s="7" t="s">
        <v>582</v>
      </c>
      <c r="B9" s="4" t="s">
        <v>563</v>
      </c>
      <c r="C9" s="4" t="s">
        <v>583</v>
      </c>
      <c r="D9" s="11" t="s">
        <v>584</v>
      </c>
      <c r="E9" s="11" t="s">
        <v>12</v>
      </c>
      <c r="F9" s="4" t="s">
        <v>566</v>
      </c>
      <c r="G9" s="4" t="s">
        <v>585</v>
      </c>
      <c r="H9" s="4" t="s">
        <v>586</v>
      </c>
      <c r="I9" s="4" t="s">
        <v>581</v>
      </c>
      <c r="J9" s="11" t="s">
        <v>13</v>
      </c>
      <c r="K9" s="4"/>
      <c r="L9" s="4"/>
      <c r="M9" s="9"/>
      <c r="N9" s="4"/>
    </row>
    <row r="10" spans="1:14" ht="57.95" customHeight="1">
      <c r="A10" s="7" t="s">
        <v>587</v>
      </c>
      <c r="B10" s="4" t="s">
        <v>588</v>
      </c>
      <c r="C10" s="4" t="s">
        <v>589</v>
      </c>
      <c r="D10" s="11" t="s">
        <v>571</v>
      </c>
      <c r="E10" s="11" t="s">
        <v>8</v>
      </c>
      <c r="F10" s="4" t="s">
        <v>590</v>
      </c>
      <c r="G10" s="4" t="s">
        <v>591</v>
      </c>
      <c r="H10" s="4" t="s">
        <v>592</v>
      </c>
      <c r="I10" s="4" t="s">
        <v>581</v>
      </c>
      <c r="J10" s="11" t="s">
        <v>13</v>
      </c>
      <c r="K10" s="4"/>
      <c r="L10" s="4"/>
      <c r="M10" s="9"/>
      <c r="N10" s="4"/>
    </row>
    <row r="11" spans="1:14" ht="57.95" customHeight="1">
      <c r="A11" s="7" t="s">
        <v>593</v>
      </c>
      <c r="B11" s="4" t="s">
        <v>588</v>
      </c>
      <c r="C11" s="4" t="s">
        <v>594</v>
      </c>
      <c r="D11" s="11" t="s">
        <v>78</v>
      </c>
      <c r="E11" s="11" t="s">
        <v>10</v>
      </c>
      <c r="F11" s="4" t="s">
        <v>595</v>
      </c>
      <c r="G11" s="4" t="s">
        <v>596</v>
      </c>
      <c r="H11" s="4" t="s">
        <v>597</v>
      </c>
      <c r="I11" s="4" t="s">
        <v>581</v>
      </c>
      <c r="J11" s="11" t="s">
        <v>13</v>
      </c>
      <c r="K11" s="4"/>
      <c r="L11" s="4"/>
      <c r="M11" s="9"/>
      <c r="N11" s="4"/>
    </row>
    <row r="12" spans="1:14" ht="57.95" customHeight="1">
      <c r="A12" s="7" t="s">
        <v>598</v>
      </c>
      <c r="B12" s="4" t="s">
        <v>599</v>
      </c>
      <c r="C12" s="4" t="s">
        <v>600</v>
      </c>
      <c r="D12" s="11" t="s">
        <v>571</v>
      </c>
      <c r="E12" s="11" t="s">
        <v>8</v>
      </c>
      <c r="F12" s="4" t="s">
        <v>601</v>
      </c>
      <c r="G12" s="4" t="s">
        <v>602</v>
      </c>
      <c r="H12" s="4" t="s">
        <v>603</v>
      </c>
      <c r="I12" s="4" t="s">
        <v>581</v>
      </c>
      <c r="J12" s="11" t="s">
        <v>13</v>
      </c>
      <c r="K12" s="4"/>
      <c r="L12" s="4"/>
      <c r="M12" s="9"/>
      <c r="N12" s="4"/>
    </row>
    <row r="13" spans="1:14" ht="57.95" customHeight="1">
      <c r="A13" s="7" t="s">
        <v>604</v>
      </c>
      <c r="B13" s="4" t="s">
        <v>605</v>
      </c>
      <c r="C13" s="4" t="s">
        <v>606</v>
      </c>
      <c r="D13" s="11" t="s">
        <v>571</v>
      </c>
      <c r="E13" s="11" t="s">
        <v>10</v>
      </c>
      <c r="F13" s="4" t="s">
        <v>607</v>
      </c>
      <c r="G13" s="4" t="s">
        <v>608</v>
      </c>
      <c r="H13" s="4" t="s">
        <v>609</v>
      </c>
      <c r="I13" s="4" t="s">
        <v>581</v>
      </c>
      <c r="J13" s="11" t="s">
        <v>13</v>
      </c>
      <c r="K13" s="4"/>
      <c r="L13" s="4"/>
      <c r="M13" s="9"/>
      <c r="N13" s="4"/>
    </row>
    <row r="14" spans="1:14" ht="57.95" customHeight="1">
      <c r="A14" s="7" t="s">
        <v>610</v>
      </c>
      <c r="B14" s="4" t="s">
        <v>605</v>
      </c>
      <c r="C14" s="4" t="s">
        <v>611</v>
      </c>
      <c r="D14" s="11" t="s">
        <v>571</v>
      </c>
      <c r="E14" s="11" t="s">
        <v>8</v>
      </c>
      <c r="F14" s="4" t="s">
        <v>612</v>
      </c>
      <c r="G14" s="4" t="s">
        <v>613</v>
      </c>
      <c r="H14" s="4" t="s">
        <v>614</v>
      </c>
      <c r="I14" s="4" t="s">
        <v>581</v>
      </c>
      <c r="J14" s="11" t="s">
        <v>13</v>
      </c>
      <c r="K14" s="4"/>
      <c r="L14" s="4"/>
      <c r="M14" s="9"/>
      <c r="N14" s="4"/>
    </row>
    <row r="15" spans="1:14" ht="57.95" customHeight="1">
      <c r="A15" s="7" t="s">
        <v>615</v>
      </c>
      <c r="B15" s="4" t="s">
        <v>616</v>
      </c>
      <c r="C15" s="4" t="s">
        <v>617</v>
      </c>
      <c r="D15" s="11" t="s">
        <v>571</v>
      </c>
      <c r="E15" s="11" t="s">
        <v>8</v>
      </c>
      <c r="F15" s="4" t="s">
        <v>163</v>
      </c>
      <c r="G15" s="4" t="s">
        <v>618</v>
      </c>
      <c r="H15" s="4" t="s">
        <v>619</v>
      </c>
      <c r="I15" s="4" t="s">
        <v>581</v>
      </c>
      <c r="J15" s="11" t="s">
        <v>13</v>
      </c>
      <c r="K15" s="4"/>
      <c r="L15" s="4"/>
      <c r="M15" s="9"/>
      <c r="N15" s="4"/>
    </row>
    <row r="16" spans="1:14" ht="57.95" customHeight="1">
      <c r="A16" s="7" t="s">
        <v>620</v>
      </c>
      <c r="B16" s="4" t="s">
        <v>621</v>
      </c>
      <c r="C16" s="4" t="s">
        <v>622</v>
      </c>
      <c r="D16" s="11" t="s">
        <v>623</v>
      </c>
      <c r="E16" s="11" t="s">
        <v>8</v>
      </c>
      <c r="F16" s="4" t="s">
        <v>624</v>
      </c>
      <c r="G16" s="4" t="s">
        <v>625</v>
      </c>
      <c r="H16" s="4" t="s">
        <v>626</v>
      </c>
      <c r="I16" s="4" t="s">
        <v>581</v>
      </c>
      <c r="J16" s="11" t="s">
        <v>13</v>
      </c>
      <c r="K16" s="4"/>
      <c r="L16" s="4"/>
      <c r="M16" s="9"/>
      <c r="N16" s="4"/>
    </row>
    <row r="17" spans="1:14" ht="57.95" customHeight="1">
      <c r="A17" s="7" t="s">
        <v>627</v>
      </c>
      <c r="B17" s="4" t="s">
        <v>621</v>
      </c>
      <c r="C17" s="4" t="s">
        <v>628</v>
      </c>
      <c r="D17" s="11" t="s">
        <v>584</v>
      </c>
      <c r="E17" s="11" t="s">
        <v>10</v>
      </c>
      <c r="F17" s="4" t="s">
        <v>629</v>
      </c>
      <c r="G17" s="4" t="s">
        <v>630</v>
      </c>
      <c r="H17" s="4" t="s">
        <v>631</v>
      </c>
      <c r="I17" s="4" t="s">
        <v>575</v>
      </c>
      <c r="J17" s="11" t="s">
        <v>13</v>
      </c>
      <c r="K17" s="4"/>
      <c r="L17" s="4"/>
      <c r="M17" s="9"/>
      <c r="N17" s="4"/>
    </row>
    <row r="18" spans="1:14" ht="57.95" customHeight="1">
      <c r="A18" s="7" t="s">
        <v>632</v>
      </c>
      <c r="B18" s="4" t="s">
        <v>621</v>
      </c>
      <c r="C18" s="4" t="s">
        <v>633</v>
      </c>
      <c r="D18" s="11" t="s">
        <v>571</v>
      </c>
      <c r="E18" s="11" t="s">
        <v>10</v>
      </c>
      <c r="F18" s="4" t="s">
        <v>634</v>
      </c>
      <c r="G18" s="4" t="s">
        <v>635</v>
      </c>
      <c r="H18" s="4" t="s">
        <v>636</v>
      </c>
      <c r="I18" s="4" t="s">
        <v>581</v>
      </c>
      <c r="J18" s="11" t="s">
        <v>13</v>
      </c>
      <c r="K18" s="4"/>
      <c r="L18" s="4"/>
      <c r="M18" s="9"/>
      <c r="N18" s="4"/>
    </row>
    <row r="19" spans="1:14" ht="57.95" customHeight="1">
      <c r="A19" s="7" t="s">
        <v>637</v>
      </c>
      <c r="B19" s="4" t="s">
        <v>621</v>
      </c>
      <c r="C19" s="4" t="s">
        <v>638</v>
      </c>
      <c r="D19" s="11" t="s">
        <v>639</v>
      </c>
      <c r="E19" s="11" t="s">
        <v>10</v>
      </c>
      <c r="F19" s="4" t="s">
        <v>640</v>
      </c>
      <c r="G19" s="4" t="s">
        <v>641</v>
      </c>
      <c r="H19" s="4" t="s">
        <v>642</v>
      </c>
      <c r="I19" s="4" t="s">
        <v>575</v>
      </c>
      <c r="J19" s="11" t="s">
        <v>13</v>
      </c>
      <c r="K19" s="4"/>
      <c r="L19" s="4"/>
      <c r="M19" s="9"/>
      <c r="N19" s="4"/>
    </row>
    <row r="20" spans="1:14" ht="57.95" customHeight="1">
      <c r="A20" s="7" t="s">
        <v>643</v>
      </c>
      <c r="B20" s="4" t="s">
        <v>621</v>
      </c>
      <c r="C20" s="4" t="s">
        <v>644</v>
      </c>
      <c r="D20" s="11" t="s">
        <v>571</v>
      </c>
      <c r="E20" s="11" t="s">
        <v>8</v>
      </c>
      <c r="F20" s="4" t="s">
        <v>645</v>
      </c>
      <c r="G20" s="4" t="s">
        <v>646</v>
      </c>
      <c r="H20" s="4" t="s">
        <v>647</v>
      </c>
      <c r="I20" s="4" t="s">
        <v>581</v>
      </c>
      <c r="J20" s="11" t="s">
        <v>13</v>
      </c>
      <c r="K20" s="4"/>
      <c r="L20" s="4"/>
      <c r="M20" s="9"/>
      <c r="N20" s="4"/>
    </row>
    <row r="21" spans="1:14" ht="57.95" customHeight="1">
      <c r="A21" s="7" t="s">
        <v>648</v>
      </c>
      <c r="B21" s="4" t="s">
        <v>649</v>
      </c>
      <c r="C21" s="4" t="s">
        <v>650</v>
      </c>
      <c r="D21" s="11" t="s">
        <v>623</v>
      </c>
      <c r="E21" s="11" t="s">
        <v>10</v>
      </c>
      <c r="F21" s="4" t="s">
        <v>651</v>
      </c>
      <c r="G21" s="4" t="s">
        <v>652</v>
      </c>
      <c r="H21" s="4" t="s">
        <v>653</v>
      </c>
      <c r="I21" s="4" t="s">
        <v>581</v>
      </c>
      <c r="J21" s="11" t="s">
        <v>13</v>
      </c>
      <c r="K21" s="4"/>
      <c r="L21" s="4"/>
      <c r="M21" s="9"/>
      <c r="N21" s="4"/>
    </row>
    <row r="22" spans="1:14" ht="57.95" customHeight="1">
      <c r="A22" s="7" t="s">
        <v>654</v>
      </c>
      <c r="B22" s="4" t="s">
        <v>655</v>
      </c>
      <c r="C22" s="4" t="s">
        <v>656</v>
      </c>
      <c r="D22" s="11" t="s">
        <v>584</v>
      </c>
      <c r="E22" s="11" t="s">
        <v>10</v>
      </c>
      <c r="F22" s="4" t="s">
        <v>657</v>
      </c>
      <c r="G22" s="4" t="s">
        <v>658</v>
      </c>
      <c r="H22" s="4" t="s">
        <v>659</v>
      </c>
      <c r="I22" s="4" t="s">
        <v>581</v>
      </c>
      <c r="J22" s="11" t="s">
        <v>13</v>
      </c>
      <c r="K22" s="4"/>
      <c r="L22" s="4"/>
      <c r="M22" s="9"/>
      <c r="N22" s="4"/>
    </row>
    <row r="23" spans="1:14" ht="57.95" customHeight="1">
      <c r="A23" s="7" t="s">
        <v>660</v>
      </c>
      <c r="B23" s="4" t="s">
        <v>655</v>
      </c>
      <c r="C23" s="4" t="s">
        <v>661</v>
      </c>
      <c r="D23" s="11" t="s">
        <v>639</v>
      </c>
      <c r="E23" s="11" t="s">
        <v>12</v>
      </c>
      <c r="F23" s="4" t="s">
        <v>662</v>
      </c>
      <c r="G23" s="4" t="s">
        <v>663</v>
      </c>
      <c r="H23" s="4" t="s">
        <v>664</v>
      </c>
      <c r="I23" s="4" t="s">
        <v>581</v>
      </c>
      <c r="J23" s="11" t="s">
        <v>13</v>
      </c>
      <c r="K23" s="4"/>
      <c r="L23" s="4"/>
      <c r="M23" s="9"/>
      <c r="N23" s="4"/>
    </row>
    <row r="24" spans="1:14" ht="57.95" customHeight="1">
      <c r="A24" s="7" t="s">
        <v>665</v>
      </c>
      <c r="B24" s="4" t="s">
        <v>655</v>
      </c>
      <c r="C24" s="4" t="s">
        <v>666</v>
      </c>
      <c r="D24" s="11" t="s">
        <v>667</v>
      </c>
      <c r="E24" s="11" t="s">
        <v>10</v>
      </c>
      <c r="F24" s="4" t="s">
        <v>657</v>
      </c>
      <c r="G24" s="4" t="s">
        <v>668</v>
      </c>
      <c r="H24" s="4" t="s">
        <v>669</v>
      </c>
      <c r="I24" s="4" t="s">
        <v>667</v>
      </c>
      <c r="J24" s="11" t="s">
        <v>13</v>
      </c>
      <c r="K24" s="4"/>
      <c r="L24" s="4"/>
      <c r="M24" s="9"/>
      <c r="N24" s="4"/>
    </row>
    <row r="25" spans="1:14" ht="57.95" customHeight="1">
      <c r="A25" s="7" t="s">
        <v>670</v>
      </c>
      <c r="B25" s="4" t="s">
        <v>671</v>
      </c>
      <c r="C25" s="4" t="s">
        <v>672</v>
      </c>
      <c r="D25" s="11" t="s">
        <v>571</v>
      </c>
      <c r="E25" s="11" t="s">
        <v>8</v>
      </c>
      <c r="F25" s="4" t="s">
        <v>673</v>
      </c>
      <c r="G25" s="4" t="s">
        <v>674</v>
      </c>
      <c r="H25" s="4" t="s">
        <v>675</v>
      </c>
      <c r="I25" s="4" t="s">
        <v>581</v>
      </c>
      <c r="J25" s="11" t="s">
        <v>13</v>
      </c>
      <c r="K25" s="4"/>
      <c r="L25" s="4"/>
      <c r="M25" s="9"/>
      <c r="N25" s="4"/>
    </row>
    <row r="26" spans="1:14" ht="57.95" customHeight="1">
      <c r="A26" s="7" t="s">
        <v>676</v>
      </c>
      <c r="B26" s="4" t="s">
        <v>671</v>
      </c>
      <c r="C26" s="4" t="s">
        <v>677</v>
      </c>
      <c r="D26" s="11" t="s">
        <v>565</v>
      </c>
      <c r="E26" s="11" t="s">
        <v>10</v>
      </c>
      <c r="F26" s="4" t="s">
        <v>678</v>
      </c>
      <c r="G26" s="4" t="s">
        <v>679</v>
      </c>
      <c r="H26" s="4" t="s">
        <v>680</v>
      </c>
      <c r="I26" s="4" t="s">
        <v>681</v>
      </c>
      <c r="J26" s="11" t="s">
        <v>13</v>
      </c>
      <c r="K26" s="4"/>
      <c r="L26" s="4"/>
      <c r="M26" s="9"/>
      <c r="N26" s="4"/>
    </row>
    <row r="27" spans="1:14" ht="57.95" customHeight="1">
      <c r="A27" s="7" t="s">
        <v>682</v>
      </c>
      <c r="B27" s="4" t="s">
        <v>671</v>
      </c>
      <c r="C27" s="4" t="s">
        <v>683</v>
      </c>
      <c r="D27" s="11" t="s">
        <v>639</v>
      </c>
      <c r="E27" s="11" t="s">
        <v>12</v>
      </c>
      <c r="F27" s="4" t="s">
        <v>245</v>
      </c>
      <c r="G27" s="4" t="s">
        <v>684</v>
      </c>
      <c r="H27" s="4" t="s">
        <v>685</v>
      </c>
      <c r="I27" s="4" t="s">
        <v>581</v>
      </c>
      <c r="J27" s="11" t="s">
        <v>13</v>
      </c>
      <c r="K27" s="4"/>
      <c r="L27" s="4"/>
      <c r="M27" s="9"/>
      <c r="N27" s="4"/>
    </row>
    <row r="28" spans="1:14" ht="57.95" customHeight="1">
      <c r="A28" s="7" t="s">
        <v>686</v>
      </c>
      <c r="B28" s="4" t="s">
        <v>671</v>
      </c>
      <c r="C28" s="4" t="s">
        <v>687</v>
      </c>
      <c r="D28" s="11" t="s">
        <v>571</v>
      </c>
      <c r="E28" s="11" t="s">
        <v>12</v>
      </c>
      <c r="F28" s="4" t="s">
        <v>688</v>
      </c>
      <c r="G28" s="4" t="s">
        <v>689</v>
      </c>
      <c r="H28" s="4" t="s">
        <v>690</v>
      </c>
      <c r="I28" s="4" t="s">
        <v>581</v>
      </c>
      <c r="J28" s="11" t="s">
        <v>13</v>
      </c>
      <c r="K28" s="4"/>
      <c r="L28" s="4"/>
      <c r="M28" s="9"/>
      <c r="N28" s="4"/>
    </row>
    <row r="29" spans="1:14" ht="57.95" customHeight="1">
      <c r="A29" s="7" t="s">
        <v>691</v>
      </c>
      <c r="B29" s="4" t="s">
        <v>671</v>
      </c>
      <c r="C29" s="4" t="s">
        <v>692</v>
      </c>
      <c r="D29" s="11" t="s">
        <v>571</v>
      </c>
      <c r="E29" s="11" t="s">
        <v>10</v>
      </c>
      <c r="F29" s="4" t="s">
        <v>693</v>
      </c>
      <c r="G29" s="4" t="s">
        <v>694</v>
      </c>
      <c r="H29" s="4" t="s">
        <v>695</v>
      </c>
      <c r="I29" s="4" t="s">
        <v>581</v>
      </c>
      <c r="J29" s="11" t="s">
        <v>13</v>
      </c>
      <c r="K29" s="4"/>
      <c r="L29" s="4"/>
      <c r="M29" s="9"/>
      <c r="N29" s="4"/>
    </row>
    <row r="30" spans="1:14" ht="57.95" customHeight="1">
      <c r="A30" s="7" t="s">
        <v>696</v>
      </c>
      <c r="B30" s="4" t="s">
        <v>671</v>
      </c>
      <c r="C30" s="4" t="s">
        <v>697</v>
      </c>
      <c r="D30" s="11" t="s">
        <v>584</v>
      </c>
      <c r="E30" s="11" t="s">
        <v>10</v>
      </c>
      <c r="F30" s="4" t="s">
        <v>263</v>
      </c>
      <c r="G30" s="4" t="s">
        <v>698</v>
      </c>
      <c r="H30" s="4" t="s">
        <v>699</v>
      </c>
      <c r="I30" s="4" t="s">
        <v>581</v>
      </c>
      <c r="J30" s="11" t="s">
        <v>13</v>
      </c>
      <c r="K30" s="4"/>
      <c r="L30" s="4"/>
      <c r="M30" s="9"/>
      <c r="N30" s="4"/>
    </row>
    <row r="31" spans="1:14" ht="57.95" customHeight="1">
      <c r="A31" s="7" t="s">
        <v>700</v>
      </c>
      <c r="B31" s="4" t="s">
        <v>671</v>
      </c>
      <c r="C31" s="4" t="s">
        <v>701</v>
      </c>
      <c r="D31" s="11" t="s">
        <v>571</v>
      </c>
      <c r="E31" s="11" t="s">
        <v>8</v>
      </c>
      <c r="F31" s="4" t="s">
        <v>702</v>
      </c>
      <c r="G31" s="4" t="s">
        <v>703</v>
      </c>
      <c r="H31" s="4" t="s">
        <v>704</v>
      </c>
      <c r="I31" s="4" t="s">
        <v>581</v>
      </c>
      <c r="J31" s="11" t="s">
        <v>13</v>
      </c>
      <c r="K31" s="4"/>
      <c r="L31" s="4"/>
      <c r="M31" s="9"/>
      <c r="N31" s="4"/>
    </row>
    <row r="32" spans="1:14" ht="57.95" customHeight="1">
      <c r="A32" s="7" t="s">
        <v>705</v>
      </c>
      <c r="B32" s="4" t="s">
        <v>671</v>
      </c>
      <c r="C32" s="4" t="s">
        <v>706</v>
      </c>
      <c r="D32" s="11" t="s">
        <v>707</v>
      </c>
      <c r="E32" s="11" t="s">
        <v>10</v>
      </c>
      <c r="F32" s="4" t="s">
        <v>708</v>
      </c>
      <c r="G32" s="4" t="s">
        <v>709</v>
      </c>
      <c r="H32" s="4" t="s">
        <v>710</v>
      </c>
      <c r="I32" s="4" t="s">
        <v>581</v>
      </c>
      <c r="J32" s="11" t="s">
        <v>13</v>
      </c>
      <c r="K32" s="4"/>
      <c r="L32" s="4"/>
      <c r="M32" s="9"/>
      <c r="N32" s="4"/>
    </row>
    <row r="33" spans="1:14" ht="57.95" customHeight="1">
      <c r="A33" s="7" t="s">
        <v>711</v>
      </c>
      <c r="B33" s="4" t="s">
        <v>712</v>
      </c>
      <c r="C33" s="4" t="s">
        <v>713</v>
      </c>
      <c r="D33" s="11" t="s">
        <v>571</v>
      </c>
      <c r="E33" s="11" t="s">
        <v>8</v>
      </c>
      <c r="F33" s="4" t="s">
        <v>714</v>
      </c>
      <c r="G33" s="4" t="s">
        <v>715</v>
      </c>
      <c r="H33" s="4" t="s">
        <v>716</v>
      </c>
      <c r="I33" s="4" t="s">
        <v>581</v>
      </c>
      <c r="J33" s="11" t="s">
        <v>13</v>
      </c>
      <c r="K33" s="4"/>
      <c r="L33" s="4"/>
      <c r="M33" s="9"/>
      <c r="N33" s="4"/>
    </row>
    <row r="34" spans="1:14" ht="57.95" customHeight="1">
      <c r="A34" s="7" t="s">
        <v>717</v>
      </c>
      <c r="B34" s="4" t="s">
        <v>712</v>
      </c>
      <c r="C34" s="4" t="s">
        <v>718</v>
      </c>
      <c r="D34" s="11" t="s">
        <v>639</v>
      </c>
      <c r="E34" s="11" t="s">
        <v>10</v>
      </c>
      <c r="F34" s="4" t="s">
        <v>719</v>
      </c>
      <c r="G34" s="4" t="s">
        <v>720</v>
      </c>
      <c r="H34" s="4" t="s">
        <v>721</v>
      </c>
      <c r="I34" s="4" t="s">
        <v>581</v>
      </c>
      <c r="J34" s="11" t="s">
        <v>13</v>
      </c>
      <c r="K34" s="4"/>
      <c r="L34" s="4"/>
      <c r="M34" s="9"/>
      <c r="N34" s="4"/>
    </row>
    <row r="35" spans="1:14" ht="57.95" customHeight="1">
      <c r="A35" s="7" t="s">
        <v>722</v>
      </c>
      <c r="B35" s="4" t="s">
        <v>712</v>
      </c>
      <c r="C35" s="4" t="s">
        <v>723</v>
      </c>
      <c r="D35" s="11" t="s">
        <v>151</v>
      </c>
      <c r="E35" s="11" t="s">
        <v>10</v>
      </c>
      <c r="F35" s="4" t="s">
        <v>724</v>
      </c>
      <c r="G35" s="4" t="s">
        <v>725</v>
      </c>
      <c r="H35" s="4" t="s">
        <v>726</v>
      </c>
      <c r="I35" s="4" t="s">
        <v>581</v>
      </c>
      <c r="J35" s="11" t="s">
        <v>13</v>
      </c>
      <c r="K35" s="4"/>
      <c r="L35" s="4"/>
      <c r="M35" s="9"/>
      <c r="N35" s="4"/>
    </row>
    <row r="36" spans="1:14" ht="57.95" customHeight="1">
      <c r="A36" s="7" t="s">
        <v>727</v>
      </c>
      <c r="B36" s="4" t="s">
        <v>712</v>
      </c>
      <c r="C36" s="4" t="s">
        <v>728</v>
      </c>
      <c r="D36" s="11" t="s">
        <v>571</v>
      </c>
      <c r="E36" s="11" t="s">
        <v>8</v>
      </c>
      <c r="F36" s="4" t="s">
        <v>729</v>
      </c>
      <c r="G36" s="4" t="s">
        <v>730</v>
      </c>
      <c r="H36" s="4" t="s">
        <v>731</v>
      </c>
      <c r="I36" s="4" t="s">
        <v>581</v>
      </c>
      <c r="J36" s="11" t="s">
        <v>13</v>
      </c>
      <c r="K36" s="4"/>
      <c r="L36" s="4"/>
      <c r="M36" s="9"/>
      <c r="N36" s="4"/>
    </row>
    <row r="37" spans="1:14" ht="57.95" customHeight="1">
      <c r="A37" s="7" t="s">
        <v>732</v>
      </c>
      <c r="B37" s="4" t="s">
        <v>712</v>
      </c>
      <c r="C37" s="4" t="s">
        <v>733</v>
      </c>
      <c r="D37" s="11" t="s">
        <v>571</v>
      </c>
      <c r="E37" s="11" t="s">
        <v>10</v>
      </c>
      <c r="F37" s="4" t="s">
        <v>693</v>
      </c>
      <c r="G37" s="4" t="s">
        <v>734</v>
      </c>
      <c r="H37" s="4" t="s">
        <v>735</v>
      </c>
      <c r="I37" s="4" t="s">
        <v>581</v>
      </c>
      <c r="J37" s="11" t="s">
        <v>13</v>
      </c>
      <c r="K37" s="4"/>
      <c r="L37" s="4"/>
      <c r="M37" s="9"/>
      <c r="N37" s="4"/>
    </row>
    <row r="38" spans="1:14" ht="57.95" customHeight="1">
      <c r="A38" s="7" t="s">
        <v>736</v>
      </c>
      <c r="B38" s="4" t="s">
        <v>712</v>
      </c>
      <c r="C38" s="4" t="s">
        <v>737</v>
      </c>
      <c r="D38" s="11" t="s">
        <v>571</v>
      </c>
      <c r="E38" s="11" t="s">
        <v>12</v>
      </c>
      <c r="F38" s="4" t="s">
        <v>738</v>
      </c>
      <c r="G38" s="4" t="s">
        <v>739</v>
      </c>
      <c r="H38" s="4" t="s">
        <v>740</v>
      </c>
      <c r="I38" s="4" t="s">
        <v>581</v>
      </c>
      <c r="J38" s="11" t="s">
        <v>13</v>
      </c>
      <c r="K38" s="4"/>
      <c r="L38" s="4"/>
      <c r="M38" s="9"/>
      <c r="N38" s="4"/>
    </row>
    <row r="39" spans="1:14" ht="57.95" customHeight="1">
      <c r="A39" s="7" t="s">
        <v>741</v>
      </c>
      <c r="B39" s="4" t="s">
        <v>178</v>
      </c>
      <c r="C39" s="4" t="s">
        <v>742</v>
      </c>
      <c r="D39" s="11" t="s">
        <v>571</v>
      </c>
      <c r="E39" s="11" t="s">
        <v>8</v>
      </c>
      <c r="F39" s="4" t="s">
        <v>693</v>
      </c>
      <c r="G39" s="4" t="s">
        <v>743</v>
      </c>
      <c r="H39" s="4" t="s">
        <v>744</v>
      </c>
      <c r="I39" s="4" t="s">
        <v>581</v>
      </c>
      <c r="J39" s="11" t="s">
        <v>13</v>
      </c>
      <c r="K39" s="4"/>
      <c r="L39" s="4"/>
      <c r="M39" s="9"/>
      <c r="N39" s="4"/>
    </row>
    <row r="40" spans="1:14" ht="57.95" customHeight="1">
      <c r="A40" s="7" t="s">
        <v>745</v>
      </c>
      <c r="B40" s="4" t="s">
        <v>178</v>
      </c>
      <c r="C40" s="4" t="s">
        <v>746</v>
      </c>
      <c r="D40" s="11" t="s">
        <v>571</v>
      </c>
      <c r="E40" s="11" t="s">
        <v>10</v>
      </c>
      <c r="F40" s="4" t="s">
        <v>747</v>
      </c>
      <c r="G40" s="4" t="s">
        <v>748</v>
      </c>
      <c r="H40" s="4" t="s">
        <v>749</v>
      </c>
      <c r="I40" s="4" t="s">
        <v>581</v>
      </c>
      <c r="J40" s="11" t="s">
        <v>13</v>
      </c>
      <c r="K40" s="4"/>
      <c r="L40" s="4"/>
      <c r="M40" s="9"/>
      <c r="N40" s="4"/>
    </row>
    <row r="41" spans="1:14" ht="57.95" customHeight="1">
      <c r="A41" s="7" t="s">
        <v>750</v>
      </c>
      <c r="B41" s="4" t="s">
        <v>178</v>
      </c>
      <c r="C41" s="4" t="s">
        <v>751</v>
      </c>
      <c r="D41" s="11" t="s">
        <v>639</v>
      </c>
      <c r="E41" s="11" t="s">
        <v>12</v>
      </c>
      <c r="F41" s="4" t="s">
        <v>752</v>
      </c>
      <c r="G41" s="4" t="s">
        <v>753</v>
      </c>
      <c r="H41" s="4" t="s">
        <v>754</v>
      </c>
      <c r="I41" s="4" t="s">
        <v>581</v>
      </c>
      <c r="J41" s="11" t="s">
        <v>13</v>
      </c>
      <c r="K41" s="4"/>
      <c r="L41" s="4"/>
      <c r="M41" s="9"/>
      <c r="N41" s="4"/>
    </row>
    <row r="42" spans="1:14" ht="57.95" customHeight="1">
      <c r="A42" s="7" t="s">
        <v>755</v>
      </c>
      <c r="B42" s="4" t="s">
        <v>178</v>
      </c>
      <c r="C42" s="4" t="s">
        <v>756</v>
      </c>
      <c r="D42" s="11" t="s">
        <v>571</v>
      </c>
      <c r="E42" s="11" t="s">
        <v>10</v>
      </c>
      <c r="F42" s="4" t="s">
        <v>693</v>
      </c>
      <c r="G42" s="4" t="s">
        <v>757</v>
      </c>
      <c r="H42" s="4" t="s">
        <v>758</v>
      </c>
      <c r="I42" s="4" t="s">
        <v>581</v>
      </c>
      <c r="J42" s="11" t="s">
        <v>13</v>
      </c>
      <c r="K42" s="4"/>
      <c r="L42" s="4"/>
      <c r="M42" s="9"/>
      <c r="N42" s="4"/>
    </row>
    <row r="43" spans="1:14" ht="57.95" customHeight="1">
      <c r="A43" s="7" t="s">
        <v>759</v>
      </c>
      <c r="B43" s="4" t="s">
        <v>178</v>
      </c>
      <c r="C43" s="4" t="s">
        <v>760</v>
      </c>
      <c r="D43" s="11" t="s">
        <v>571</v>
      </c>
      <c r="E43" s="11" t="s">
        <v>10</v>
      </c>
      <c r="F43" s="4" t="s">
        <v>761</v>
      </c>
      <c r="G43" s="4" t="s">
        <v>762</v>
      </c>
      <c r="H43" s="4" t="s">
        <v>763</v>
      </c>
      <c r="I43" s="4" t="s">
        <v>581</v>
      </c>
      <c r="J43" s="11" t="s">
        <v>13</v>
      </c>
      <c r="K43" s="4"/>
      <c r="L43" s="4"/>
      <c r="M43" s="9"/>
      <c r="N43" s="4"/>
    </row>
    <row r="44" spans="1:14" ht="57.95" customHeight="1">
      <c r="A44" s="7" t="s">
        <v>764</v>
      </c>
      <c r="B44" s="4" t="s">
        <v>178</v>
      </c>
      <c r="C44" s="4" t="s">
        <v>765</v>
      </c>
      <c r="D44" s="11" t="s">
        <v>571</v>
      </c>
      <c r="E44" s="11" t="s">
        <v>10</v>
      </c>
      <c r="F44" s="4" t="s">
        <v>356</v>
      </c>
      <c r="G44" s="4" t="s">
        <v>766</v>
      </c>
      <c r="H44" s="4" t="s">
        <v>767</v>
      </c>
      <c r="I44" s="4" t="s">
        <v>581</v>
      </c>
      <c r="J44" s="11" t="s">
        <v>13</v>
      </c>
      <c r="K44" s="4"/>
      <c r="L44" s="4"/>
      <c r="M44" s="9"/>
      <c r="N44" s="4"/>
    </row>
    <row r="45" spans="1:14" ht="57.95" customHeight="1">
      <c r="A45" s="7" t="s">
        <v>768</v>
      </c>
      <c r="B45" s="4" t="s">
        <v>479</v>
      </c>
      <c r="C45" s="4" t="s">
        <v>769</v>
      </c>
      <c r="D45" s="11" t="s">
        <v>571</v>
      </c>
      <c r="E45" s="11" t="s">
        <v>8</v>
      </c>
      <c r="F45" s="4" t="s">
        <v>770</v>
      </c>
      <c r="G45" s="4" t="s">
        <v>771</v>
      </c>
      <c r="H45" s="4" t="s">
        <v>772</v>
      </c>
      <c r="I45" s="4" t="s">
        <v>581</v>
      </c>
      <c r="J45" s="11" t="s">
        <v>13</v>
      </c>
      <c r="K45" s="4"/>
      <c r="L45" s="4"/>
      <c r="M45" s="9"/>
      <c r="N45" s="4"/>
    </row>
    <row r="46" spans="1:14" ht="57.95" customHeight="1">
      <c r="A46" s="7" t="s">
        <v>773</v>
      </c>
      <c r="B46" s="4" t="s">
        <v>479</v>
      </c>
      <c r="C46" s="4" t="s">
        <v>774</v>
      </c>
      <c r="D46" s="11" t="s">
        <v>78</v>
      </c>
      <c r="E46" s="11" t="s">
        <v>10</v>
      </c>
      <c r="F46" s="4" t="s">
        <v>775</v>
      </c>
      <c r="G46" s="4" t="s">
        <v>776</v>
      </c>
      <c r="H46" s="4" t="s">
        <v>777</v>
      </c>
      <c r="I46" s="4" t="s">
        <v>581</v>
      </c>
      <c r="J46" s="11" t="s">
        <v>13</v>
      </c>
      <c r="K46" s="4"/>
      <c r="L46" s="4"/>
      <c r="M46" s="9"/>
      <c r="N46" s="4"/>
    </row>
    <row r="47" spans="1:14" ht="57.95" customHeight="1">
      <c r="A47" s="7" t="s">
        <v>778</v>
      </c>
      <c r="B47" s="4" t="s">
        <v>479</v>
      </c>
      <c r="C47" s="4" t="s">
        <v>779</v>
      </c>
      <c r="D47" s="11" t="s">
        <v>707</v>
      </c>
      <c r="E47" s="11" t="s">
        <v>10</v>
      </c>
      <c r="F47" s="4" t="s">
        <v>780</v>
      </c>
      <c r="G47" s="4" t="s">
        <v>781</v>
      </c>
      <c r="H47" s="4" t="s">
        <v>782</v>
      </c>
      <c r="I47" s="4" t="s">
        <v>581</v>
      </c>
      <c r="J47" s="11" t="s">
        <v>13</v>
      </c>
      <c r="K47" s="4"/>
      <c r="L47" s="4"/>
      <c r="M47" s="9"/>
      <c r="N47" s="4"/>
    </row>
    <row r="48" spans="1:14" ht="57.95" customHeight="1">
      <c r="A48" s="7" t="s">
        <v>783</v>
      </c>
      <c r="B48" s="4" t="s">
        <v>479</v>
      </c>
      <c r="C48" s="4" t="s">
        <v>784</v>
      </c>
      <c r="D48" s="11" t="s">
        <v>785</v>
      </c>
      <c r="E48" s="11" t="s">
        <v>8</v>
      </c>
      <c r="F48" s="4" t="s">
        <v>786</v>
      </c>
      <c r="G48" s="4" t="s">
        <v>787</v>
      </c>
      <c r="H48" s="4" t="s">
        <v>788</v>
      </c>
      <c r="I48" s="4" t="s">
        <v>789</v>
      </c>
      <c r="J48" s="11" t="s">
        <v>13</v>
      </c>
      <c r="K48" s="4"/>
      <c r="L48" s="4"/>
      <c r="M48" s="9"/>
      <c r="N48" s="4"/>
    </row>
    <row r="49" spans="1:14" ht="57.95" customHeight="1">
      <c r="A49" s="7" t="s">
        <v>790</v>
      </c>
      <c r="B49" s="4" t="s">
        <v>522</v>
      </c>
      <c r="C49" s="4" t="s">
        <v>791</v>
      </c>
      <c r="D49" s="11" t="s">
        <v>571</v>
      </c>
      <c r="E49" s="11" t="s">
        <v>8</v>
      </c>
      <c r="F49" s="4" t="s">
        <v>770</v>
      </c>
      <c r="G49" s="4" t="s">
        <v>792</v>
      </c>
      <c r="H49" s="4" t="s">
        <v>793</v>
      </c>
      <c r="I49" s="4" t="s">
        <v>581</v>
      </c>
      <c r="J49" s="11" t="s">
        <v>13</v>
      </c>
      <c r="K49" s="4"/>
      <c r="L49" s="4"/>
      <c r="M49" s="9"/>
      <c r="N49" s="4"/>
    </row>
    <row r="50" spans="1:14" ht="57.95" customHeight="1">
      <c r="A50" s="7" t="s">
        <v>794</v>
      </c>
      <c r="B50" s="4" t="s">
        <v>522</v>
      </c>
      <c r="C50" s="4" t="s">
        <v>795</v>
      </c>
      <c r="D50" s="11" t="s">
        <v>78</v>
      </c>
      <c r="E50" s="11" t="s">
        <v>10</v>
      </c>
      <c r="F50" s="4" t="s">
        <v>796</v>
      </c>
      <c r="G50" s="4" t="s">
        <v>797</v>
      </c>
      <c r="H50" s="4" t="s">
        <v>798</v>
      </c>
      <c r="I50" s="4" t="s">
        <v>581</v>
      </c>
      <c r="J50" s="11" t="s">
        <v>13</v>
      </c>
      <c r="K50" s="4"/>
      <c r="L50" s="4"/>
      <c r="M50" s="9"/>
      <c r="N50" s="4"/>
    </row>
    <row r="51" spans="1:14" ht="57.95" customHeight="1">
      <c r="A51" s="7" t="s">
        <v>799</v>
      </c>
      <c r="B51" s="4" t="s">
        <v>522</v>
      </c>
      <c r="C51" s="4" t="s">
        <v>784</v>
      </c>
      <c r="D51" s="11" t="s">
        <v>785</v>
      </c>
      <c r="E51" s="11" t="s">
        <v>8</v>
      </c>
      <c r="F51" s="4" t="s">
        <v>786</v>
      </c>
      <c r="G51" s="4" t="s">
        <v>800</v>
      </c>
      <c r="H51" s="4" t="s">
        <v>801</v>
      </c>
      <c r="I51" s="4" t="s">
        <v>789</v>
      </c>
      <c r="J51" s="11" t="s">
        <v>13</v>
      </c>
      <c r="K51" s="4"/>
      <c r="L51" s="4"/>
      <c r="M51" s="9"/>
      <c r="N51" s="4"/>
    </row>
    <row r="52" spans="1:14" ht="57.95" customHeight="1">
      <c r="A52" s="7" t="s">
        <v>802</v>
      </c>
      <c r="B52" s="4" t="s">
        <v>522</v>
      </c>
      <c r="C52" s="4" t="s">
        <v>803</v>
      </c>
      <c r="D52" s="11" t="s">
        <v>639</v>
      </c>
      <c r="E52" s="11" t="s">
        <v>12</v>
      </c>
      <c r="F52" s="4" t="s">
        <v>780</v>
      </c>
      <c r="G52" s="4" t="s">
        <v>804</v>
      </c>
      <c r="H52" s="4" t="s">
        <v>805</v>
      </c>
      <c r="I52" s="4" t="s">
        <v>581</v>
      </c>
      <c r="J52" s="11" t="s">
        <v>13</v>
      </c>
      <c r="K52" s="4"/>
      <c r="L52" s="4"/>
      <c r="M52" s="9"/>
      <c r="N52" s="4"/>
    </row>
    <row r="53" spans="1:14" ht="57.95" customHeight="1">
      <c r="A53" s="7" t="s">
        <v>806</v>
      </c>
      <c r="B53" s="4" t="s">
        <v>667</v>
      </c>
      <c r="C53" s="4" t="s">
        <v>807</v>
      </c>
      <c r="D53" s="11" t="s">
        <v>667</v>
      </c>
      <c r="E53" s="11" t="s">
        <v>10</v>
      </c>
      <c r="F53" s="4" t="s">
        <v>808</v>
      </c>
      <c r="G53" s="4" t="s">
        <v>809</v>
      </c>
      <c r="H53" s="4" t="s">
        <v>810</v>
      </c>
      <c r="I53" s="4" t="s">
        <v>811</v>
      </c>
      <c r="J53" s="11" t="s">
        <v>13</v>
      </c>
      <c r="K53" s="4"/>
      <c r="L53" s="4"/>
      <c r="M53" s="9"/>
      <c r="N53" s="4"/>
    </row>
    <row r="54" spans="1:14" ht="57.95" customHeight="1">
      <c r="A54" s="7" t="s">
        <v>812</v>
      </c>
      <c r="B54" s="4" t="s">
        <v>667</v>
      </c>
      <c r="C54" s="4" t="s">
        <v>813</v>
      </c>
      <c r="D54" s="11" t="s">
        <v>667</v>
      </c>
      <c r="E54" s="11" t="s">
        <v>10</v>
      </c>
      <c r="F54" s="4" t="s">
        <v>814</v>
      </c>
      <c r="G54" s="4" t="s">
        <v>815</v>
      </c>
      <c r="H54" s="4" t="s">
        <v>816</v>
      </c>
      <c r="I54" s="4" t="s">
        <v>811</v>
      </c>
      <c r="J54" s="11" t="s">
        <v>13</v>
      </c>
      <c r="K54" s="4"/>
      <c r="L54" s="4"/>
      <c r="M54" s="9"/>
      <c r="N54" s="4"/>
    </row>
    <row r="55" spans="1:14" ht="57.95" customHeight="1">
      <c r="A55" s="7" t="s">
        <v>817</v>
      </c>
      <c r="B55" s="4" t="s">
        <v>818</v>
      </c>
      <c r="C55" s="4" t="s">
        <v>819</v>
      </c>
      <c r="D55" s="11" t="s">
        <v>818</v>
      </c>
      <c r="E55" s="11" t="s">
        <v>12</v>
      </c>
      <c r="F55" s="4" t="s">
        <v>624</v>
      </c>
      <c r="G55" s="4" t="s">
        <v>820</v>
      </c>
      <c r="H55" s="4" t="s">
        <v>821</v>
      </c>
      <c r="I55" s="4" t="s">
        <v>575</v>
      </c>
      <c r="J55" s="11" t="s">
        <v>13</v>
      </c>
      <c r="K55" s="4"/>
      <c r="L55" s="4"/>
      <c r="M55" s="9"/>
      <c r="N55" s="4"/>
    </row>
    <row r="56" spans="1:14" ht="57.95" customHeight="1">
      <c r="A56" s="7" t="s">
        <v>822</v>
      </c>
      <c r="B56" s="4" t="s">
        <v>818</v>
      </c>
      <c r="C56" s="4" t="s">
        <v>823</v>
      </c>
      <c r="D56" s="11" t="s">
        <v>818</v>
      </c>
      <c r="E56" s="11" t="s">
        <v>12</v>
      </c>
      <c r="F56" s="4" t="s">
        <v>824</v>
      </c>
      <c r="G56" s="4" t="s">
        <v>825</v>
      </c>
      <c r="H56" s="4" t="s">
        <v>826</v>
      </c>
      <c r="I56" s="4" t="s">
        <v>581</v>
      </c>
      <c r="J56" s="11" t="s">
        <v>13</v>
      </c>
      <c r="K56" s="4"/>
      <c r="L56" s="4"/>
      <c r="M56" s="9"/>
      <c r="N56" s="4"/>
    </row>
    <row r="57" spans="1:14" ht="57.95" customHeight="1">
      <c r="A57" s="8" t="s">
        <v>827</v>
      </c>
      <c r="B57" s="5" t="s">
        <v>110</v>
      </c>
      <c r="C57" s="5" t="s">
        <v>828</v>
      </c>
      <c r="D57" s="12" t="s">
        <v>110</v>
      </c>
      <c r="E57" s="12" t="s">
        <v>8</v>
      </c>
      <c r="F57" s="5" t="s">
        <v>829</v>
      </c>
      <c r="G57" s="5" t="s">
        <v>830</v>
      </c>
      <c r="H57" s="5" t="s">
        <v>831</v>
      </c>
      <c r="I57" s="5" t="s">
        <v>581</v>
      </c>
      <c r="J57" s="11" t="s">
        <v>13</v>
      </c>
      <c r="K57" s="5"/>
      <c r="L57" s="5"/>
      <c r="M57" s="10"/>
      <c r="N57" s="5"/>
    </row>
  </sheetData>
  <conditionalFormatting sqref="J6:J57">
    <cfRule type="containsText" dxfId="13" priority="1" operator="containsText" text="Passed"/>
    <cfRule type="containsText" dxfId="12" priority="2" operator="containsText" text="Failed"/>
    <cfRule type="containsText" dxfId="11" priority="3" operator="containsText" text="Blocked"/>
    <cfRule type="containsText" dxfId="10" priority="4" operator="containsText" text="In Progress"/>
    <cfRule type="containsText" dxfId="9" priority="5" operator="containsText" text="Not Run"/>
  </conditionalFormatting>
  <conditionalFormatting sqref="E6:E57">
    <cfRule type="containsText" dxfId="8" priority="6" operator="containsText" text="Critical"/>
    <cfRule type="containsText" dxfId="7" priority="7" operator="containsText" text="High"/>
  </conditionalFormatting>
  <dataValidations count="2">
    <dataValidation type="list" sqref="J6:J57" xr:uid="{00000000-0002-0000-0200-000000000000}">
      <formula1>"Not Run,In Progress,Passed,Failed,Blocked,N/A"</formula1>
    </dataValidation>
    <dataValidation type="list" sqref="E6:E57" xr:uid="{00000000-0002-0000-02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Save your recent changes?</vt:lpstr>
      </vt:variant>
      <vt:variant>
        <vt:i4>3</vt:i4>
      </vt:variant>
    </vt:vector>
  </HeadingPairs>
  <TitlesOfParts>
    <vt:vector size="3" baseType="lpstr">
      <vt:lpstr>Tong quan</vt:lpstr>
      <vt:lpstr>API Test Cases</vt:lpstr>
      <vt:lpstr>UI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Nam</cp:lastModifiedBy>
  <dcterms:modified xsi:type="dcterms:W3CDTF">2026-09-22T12:25:30Z</dcterms:modified>
</cp:coreProperties>
</file>