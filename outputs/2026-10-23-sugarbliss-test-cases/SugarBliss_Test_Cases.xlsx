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12289b55804a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 quan" sheetId="1" r:id="Ra10519b7789e4202"/>
    <x:sheet xmlns:r="http://schemas.openxmlformats.org/officeDocument/2006/relationships" name="API Test Cases" sheetId="2" r:id="R52ef69891f0e4ec0"/>
    <x:sheet xmlns:r="http://schemas.openxmlformats.org/officeDocument/2006/relationships" name="UI Test Cases" sheetId="3" r:id="R0c11f3f60a824515"/>
  </x:sheets>
</x:workbook>
</file>

<file path=xl/sharedStrings.xml><?xml version="1.0" encoding="utf-8"?>
<x:sst xmlns:x="http://schemas.openxmlformats.org/spreadsheetml/2006/main">
  <x:si>
    <x:t xml:space="preserve">SugarBliss Test Case Dashboard</x:t>
  </x:si>
  <x:si>
    <x:t xml:space="preserve">Chỉ số</x:t>
  </x:si>
  <x:si>
    <x:t xml:space="preserve">Giá trị</x:t>
  </x:si>
  <x:si>
    <x:t xml:space="preserve">Mức ưu tiên</x:t>
  </x:si>
  <x:si>
    <x:t xml:space="preserve">API</x:t>
  </x:si>
  <x:si>
    <x:t xml:space="preserve">UI</x:t>
  </x:si>
  <x:si>
    <x:t xml:space="preserve">Tổng API test case</x:t>
  </x:si>
  <x:si>
    <x:t xml:space="preserve">Critical</x:t>
  </x:si>
  <x:si>
    <x:t xml:space="preserve">Tổng UI test case</x:t>
  </x:si>
  <x:si>
    <x:t xml:space="preserve">High</x:t>
  </x:si>
  <x:si>
    <x:t xml:space="preserve">Tổng test case</x:t>
  </x:si>
  <x:si>
    <x:t xml:space="preserve">Medium</x:t>
  </x:si>
  <x:si>
    <x:t xml:space="preserve">Passed</x:t>
  </x:si>
  <x:si>
    <x:t xml:space="preserve">Low</x:t>
  </x:si>
  <x:si>
    <x:t xml:space="preserve">Failed</x:t>
  </x:si>
  <x:si>
    <x:t xml:space="preserve">Blocked</x:t>
  </x:si>
  <x:si>
    <x:t xml:space="preserve">In Progress</x:t>
  </x:si>
  <x:si>
    <x:t xml:space="preserve">Not Run</x:t>
  </x:si>
  <x:si>
    <x:t xml:space="preserve">Đã thực thi</x:t>
  </x:si>
  <x:si>
    <x:t xml:space="preserve">Pass rate</x:t>
  </x:si>
  <x:si>
    <x:t xml:space="preserve">Hướng dẫn sử dụng</x:t>
  </x:si>
  <x:si>
    <x:t xml:space="preserve">1. Chọn sheet API Test Cases hoặc UI Test Cases và lọc theo Module/Màn hình, Ưu tiên hoặc Trạng thái.</x:t>
  </x:si>
  <x:si>
    <x:t xml:space="preserve">2. Cập nhật Trạng thái bằng dropdown. Ghi response, lỗi hoặc bằng chứng vào Kết quả thực tế và Ghi chú.</x:t>
  </x:si>
  <x:si>
    <x:t xml:space="preserve">3. Với case tạo dữ liệu, dùng tài khoản/sản phẩm test và dọn dữ liệu sau khi hoàn tất.</x:t>
  </x:si>
  <x:si>
    <x:t xml:space="preserve">4. Không dùng dữ liệu khách hàng thật trong test OTP, email, avatar, contact hoặc special order.</x:t>
  </x:si>
  <x:si>
    <x:t xml:space="preserve">5. Dashboard tự cập nhật khi trạng thái trong hai sheet test case thay đổi.</x:t>
  </x:si>
  <x:si>
    <x:t xml:space="preserve">SugarBliss API Test Cases</x:t>
  </x:si>
  <x:si>
    <x:t xml:space="preserve">Phạm vi: Node.js/Express API, MongoDB, JWT, Nodemailer và upload file. Cập nhật Trạng thái, Kết quả thực tế, Người test và Ngày test khi thực thi.</x:t>
  </x:si>
  <x:si>
    <x:t xml:space="preserve">Test Case ID</x:t>
  </x:si>
  <x:si>
    <x:t xml:space="preserve">Module</x:t>
  </x:si>
  <x:si>
    <x:t xml:space="preserve">Chức năng / Kịch bản</x:t>
  </x:si>
  <x:si>
    <x:t xml:space="preserve">Method</x:t>
  </x:si>
  <x:si>
    <x:t xml:space="preserve">Endpoint</x:t>
  </x:si>
  <x:si>
    <x:t xml:space="preserve">Loại test</x:t>
  </x:si>
  <x:si>
    <x:t xml:space="preserve">Ưu tiên</x:t>
  </x:si>
  <x:si>
    <x:t xml:space="preserve">Điều kiện trước</x:t>
  </x:si>
  <x:si>
    <x:t xml:space="preserve">Dữ liệu test</x:t>
  </x:si>
  <x:si>
    <x:t xml:space="preserve">Các bước thực hiện</x:t>
  </x:si>
  <x:si>
    <x:t xml:space="preserve">HTTP mong đợi</x:t>
  </x:si>
  <x:si>
    <x:t xml:space="preserve">Kết quả mong đợi</x:t>
  </x:si>
  <x:si>
    <x:t xml:space="preserve">Trạng thái</x:t>
  </x:si>
  <x:si>
    <x:t xml:space="preserve">Kết quả thực tế</x:t>
  </x:si>
  <x:si>
    <x:t xml:space="preserve">Người test</x:t>
  </x:si>
  <x:si>
    <x:t xml:space="preserve">Ngày test</x:t>
  </x:si>
  <x:si>
    <x:t xml:space="preserve">Ghi chú</x:t>
  </x:si>
  <x:si>
    <x:t xml:space="preserve">API-001</x:t>
  </x:si>
  <x:si>
    <x:t xml:space="preserve">Health</x:t>
  </x:si>
  <x:si>
    <x:t xml:space="preserve">Kiểm tra server hoạt động</x:t>
  </x:si>
  <x:si>
    <x:t xml:space="preserve">GET</x:t>
  </x:si>
  <x:si>
    <x:t xml:space="preserve">/</x:t>
  </x:si>
  <x:si>
    <x:t xml:space="preserve">Positive</x:t>
  </x:si>
  <x:si>
    <x:t xml:space="preserve">Server đã khởi động</x:t>
  </x:si>
  <x:si>
    <x:t xml:space="preserve">Không có</x:t>
  </x:si>
  <x:si>
    <x:t xml:space="preserve">Gửi request GET đến server</x:t>
  </x:si>
  <x:si>
    <x:t xml:space="preserve">Trả message SugarBliss API is running và danh sách endpoint chính.</x:t>
  </x:si>
  <x:si>
    <x:t xml:space="preserve">API-002</x:t>
  </x:si>
  <x:si>
    <x:t xml:space="preserve">Route không tồn tại</x:t>
  </x:si>
  <x:si>
    <x:t xml:space="preserve">/api/not-found</x:t>
  </x:si>
  <x:si>
    <x:t xml:space="preserve">Negative</x:t>
  </x:si>
  <x:si>
    <x:t xml:space="preserve">Gửi request đến route không tồn tại</x:t>
  </x:si>
  <x:si>
    <x:t xml:space="preserve">Trả message API not found.</x:t>
  </x:si>
  <x:si>
    <x:t xml:space="preserve">API-003</x:t>
  </x:si>
  <x:si>
    <x:t xml:space="preserve">Auth</x:t>
  </x:si>
  <x:si>
    <x:t xml:space="preserve">Đăng ký tài khoản hợp lệ</x:t>
  </x:si>
  <x:si>
    <x:t xml:space="preserve">POST</x:t>
  </x:si>
  <x:si>
    <x:t xml:space="preserve">/api/users/register</x:t>
  </x:si>
  <x:si>
    <x:t xml:space="preserve">Email chưa tồn tại</x:t>
  </x:si>
  <x:si>
    <x:t xml:space="preserve">name, email hợp lệ, password &gt;= 6 ký tự</x:t>
  </x:si>
  <x:si>
    <x:t xml:space="preserve">Gửi JSON đăng ký</x:t>
  </x:si>
  <x:si>
    <x:t xml:space="preserve">Tạo user mới, trả thông tin user và JWT; response không chứa password.</x:t>
  </x:si>
  <x:si>
    <x:t xml:space="preserve">API-004</x:t>
  </x:si>
  <x:si>
    <x:t xml:space="preserve">Đăng ký thiếu trường bắt buộc</x:t>
  </x:si>
  <x:si>
    <x:t xml:space="preserve">Thiếu name hoặc email hoặc password</x:t>
  </x:si>
  <x:si>
    <x:t xml:space="preserve">Gửi lần lượt từng payload thiếu trường</x:t>
  </x:si>
  <x:si>
    <x:t xml:space="preserve">Không tạo user; trả thông báo yêu cầu name, email và password.</x:t>
  </x:si>
  <x:si>
    <x:t xml:space="preserve">API-005</x:t>
  </x:si>
  <x:si>
    <x:t xml:space="preserve">Đăng ký email sai định dạng</x:t>
  </x:si>
  <x:si>
    <x:t xml:space="preserve">Validation</x:t>
  </x:si>
  <x:si>
    <x:t xml:space="preserve">email=abc</x:t>
  </x:si>
  <x:si>
    <x:t xml:space="preserve">Gửi payload đăng ký</x:t>
  </x:si>
  <x:si>
    <x:t xml:space="preserve">Không tạo user; trả lỗi Invalid email address.</x:t>
  </x:si>
  <x:si>
    <x:t xml:space="preserve">API-006</x:t>
  </x:si>
  <x:si>
    <x:t xml:space="preserve">Đăng ký mật khẩu quá ngắn</x:t>
  </x:si>
  <x:si>
    <x:t xml:space="preserve">password=12345</x:t>
  </x:si>
  <x:si>
    <x:t xml:space="preserve">Không tạo user; báo mật khẩu tối thiểu 6 ký tự.</x:t>
  </x:si>
  <x:si>
    <x:t xml:space="preserve">API-007</x:t>
  </x:si>
  <x:si>
    <x:t xml:space="preserve">Đăng ký email trùng</x:t>
  </x:si>
  <x:si>
    <x:t xml:space="preserve">Email đã tồn tại</x:t>
  </x:si>
  <x:si>
    <x:t xml:space="preserve">Dùng email của user hiện có</x:t>
  </x:si>
  <x:si>
    <x:t xml:space="preserve">Gửi lại request đăng ký</x:t>
  </x:si>
  <x:si>
    <x:t xml:space="preserve">Không tạo bản ghi trùng; trả This email is already in use.</x:t>
  </x:si>
  <x:si>
    <x:t xml:space="preserve">API-008</x:t>
  </x:si>
  <x:si>
    <x:t xml:space="preserve">Đăng nhập thành công</x:t>
  </x:si>
  <x:si>
    <x:t xml:space="preserve">/api/users/login</x:t>
  </x:si>
  <x:si>
    <x:t xml:space="preserve">User active đã tồn tại</x:t>
  </x:si>
  <x:si>
    <x:t xml:space="preserve">Email và password đúng</x:t>
  </x:si>
  <x:si>
    <x:t xml:space="preserve">Gửi request đăng nhập</x:t>
  </x:si>
  <x:si>
    <x:t xml:space="preserve">Trả JWT và thông tin user; token dùng được với route bảo vệ.</x:t>
  </x:si>
  <x:si>
    <x:t xml:space="preserve">API-009</x:t>
  </x:si>
  <x:si>
    <x:t xml:space="preserve">Đăng nhập sai mật khẩu</x:t>
  </x:si>
  <x:si>
    <x:t xml:space="preserve">User đã tồn tại</x:t>
  </x:si>
  <x:si>
    <x:t xml:space="preserve">Password sai</x:t>
  </x:si>
  <x:si>
    <x:t xml:space="preserve">Không trả token; trả Invalid email or password.</x:t>
  </x:si>
  <x:si>
    <x:t xml:space="preserve">API-010</x:t>
  </x:si>
  <x:si>
    <x:t xml:space="preserve">Đăng nhập thiếu thông tin</x:t>
  </x:si>
  <x:si>
    <x:t xml:space="preserve">Thiếu email hoặc password</x:t>
  </x:si>
  <x:si>
    <x:t xml:space="preserve">Trả thông báo yêu cầu email và password.</x:t>
  </x:si>
  <x:si>
    <x:t xml:space="preserve">API-011</x:t>
  </x:si>
  <x:si>
    <x:t xml:space="preserve">Đăng nhập tài khoản bị khóa</x:t>
  </x:si>
  <x:si>
    <x:t xml:space="preserve">Security</x:t>
  </x:si>
  <x:si>
    <x:t xml:space="preserve">User có isActive=false</x:t>
  </x:si>
  <x:si>
    <x:t xml:space="preserve">Không trả token; báo tài khoản bị vô hiệu hóa.</x:t>
  </x:si>
  <x:si>
    <x:t xml:space="preserve">API-012</x:t>
  </x:si>
  <x:si>
    <x:t xml:space="preserve">Password không xuất hiện trong response</x:t>
  </x:si>
  <x:si>
    <x:t xml:space="preserve">User hợp lệ</x:t>
  </x:si>
  <x:si>
    <x:t xml:space="preserve">Đăng nhập và kiểm tra JSON</x:t>
  </x:si>
  <x:si>
    <x:t xml:space="preserve">Response không có password hoặc password hash.</x:t>
  </x:si>
  <x:si>
    <x:t xml:space="preserve">API-013</x:t>
  </x:si>
  <x:si>
    <x:t xml:space="preserve">OTP</x:t>
  </x:si>
  <x:si>
    <x:t xml:space="preserve">Gửi OTP quên mật khẩu</x:t>
  </x:si>
  <x:si>
    <x:t xml:space="preserve">/api/users/send-otp</x:t>
  </x:si>
  <x:si>
    <x:t xml:space="preserve">SMTP được cấu hình</x:t>
  </x:si>
  <x:si>
    <x:t xml:space="preserve">email hợp lệ, purpose=reset-password</x:t>
  </x:si>
  <x:si>
    <x:t xml:space="preserve">Gửi request và kiểm tra email</x:t>
  </x:si>
  <x:si>
    <x:t xml:space="preserve">OTP được tạo, email gửi thành công, response có thời gian hết hạn.</x:t>
  </x:si>
  <x:si>
    <x:t xml:space="preserve">API-014</x:t>
  </x:si>
  <x:si>
    <x:t xml:space="preserve">Gửi OTP với email không hợp lệ</x:t>
  </x:si>
  <x:si>
    <x:t xml:space="preserve">email=invalid</x:t>
  </x:si>
  <x:si>
    <x:t xml:space="preserve">Gửi request</x:t>
  </x:si>
  <x:si>
    <x:t xml:space="preserve">Không gửi mail; trả yêu cầu email hợp lệ.</x:t>
  </x:si>
  <x:si>
    <x:t xml:space="preserve">API-015</x:t>
  </x:si>
  <x:si>
    <x:t xml:space="preserve">Giới hạn gửi lại OTP</x:t>
  </x:si>
  <x:si>
    <x:t xml:space="preserve">Đã gửi OTP cùng email/purpose</x:t>
  </x:si>
  <x:si>
    <x:t xml:space="preserve">Gửi lại trong cooldown</x:t>
  </x:si>
  <x:si>
    <x:t xml:space="preserve">Gửi request lần hai ngay lập tức</x:t>
  </x:si>
  <x:si>
    <x:t xml:space="preserve">Không tạo OTP mới; yêu cầu chờ hết cooldown.</x:t>
  </x:si>
  <x:si>
    <x:t xml:space="preserve">API-016</x:t>
  </x:si>
  <x:si>
    <x:t xml:space="preserve">Xác thực OTP đúng</x:t>
  </x:si>
  <x:si>
    <x:t xml:space="preserve">/api/users/verify-otp</x:t>
  </x:si>
  <x:si>
    <x:t xml:space="preserve">OTP còn hạn</x:t>
  </x:si>
  <x:si>
    <x:t xml:space="preserve">email, otp đúng, purpose=reset-password</x:t>
  </x:si>
  <x:si>
    <x:t xml:space="preserve">Gửi request xác thực</x:t>
  </x:si>
  <x:si>
    <x:t xml:space="preserve">Trả resetToken và thời gian hết hạn reset token.</x:t>
  </x:si>
  <x:si>
    <x:t xml:space="preserve">API-017</x:t>
  </x:si>
  <x:si>
    <x:t xml:space="preserve">Xác thực OTP sai</x:t>
  </x:si>
  <x:si>
    <x:t xml:space="preserve">OTP đã được tạo</x:t>
  </x:si>
  <x:si>
    <x:t xml:space="preserve">otp sai</x:t>
  </x:si>
  <x:si>
    <x:t xml:space="preserve">Không trả resetToken; báo OTP invalid hoặc expired.</x:t>
  </x:si>
  <x:si>
    <x:t xml:space="preserve">API-018</x:t>
  </x:si>
  <x:si>
    <x:t xml:space="preserve">Xác thực OTP hết hạn</x:t>
  </x:si>
  <x:si>
    <x:t xml:space="preserve">Boundary</x:t>
  </x:si>
  <x:si>
    <x:t xml:space="preserve">OTP đã quá thời gian</x:t>
  </x:si>
  <x:si>
    <x:t xml:space="preserve">OTP cũ</x:t>
  </x:si>
  <x:si>
    <x:t xml:space="preserve">OTP bị từ chối và không thể tái sử dụng.</x:t>
  </x:si>
  <x:si>
    <x:t xml:space="preserve">API-019</x:t>
  </x:si>
  <x:si>
    <x:t xml:space="preserve">Vượt số lần thử OTP</x:t>
  </x:si>
  <x:si>
    <x:t xml:space="preserve">Nhập OTP sai liên tục</x:t>
  </x:si>
  <x:si>
    <x:t xml:space="preserve">Gửi sai đến OTP_MAX_ATTEMPTS rồi gửi lại</x:t>
  </x:si>
  <x:si>
    <x:t xml:space="preserve">OTP bị xóa; yêu cầu tạo OTP mới.</x:t>
  </x:si>
  <x:si>
    <x:t xml:space="preserve">API-020</x:t>
  </x:si>
  <x:si>
    <x:t xml:space="preserve">Reset password thành công</x:t>
  </x:si>
  <x:si>
    <x:t xml:space="preserve">/api/users/reset-password</x:t>
  </x:si>
  <x:si>
    <x:t xml:space="preserve">Có resetToken hợp lệ</x:t>
  </x:si>
  <x:si>
    <x:t xml:space="preserve">email, resetToken, password mới &gt;= 6 ký tự</x:t>
  </x:si>
  <x:si>
    <x:t xml:space="preserve">Gửi request rồi đăng nhập bằng mật khẩu mới</x:t>
  </x:si>
  <x:si>
    <x:t xml:space="preserve">Password được hash lại; đăng nhập bằng mật khẩu mới thành công.</x:t>
  </x:si>
  <x:si>
    <x:t xml:space="preserve">API-021</x:t>
  </x:si>
  <x:si>
    <x:t xml:space="preserve">Reset password với token sai</x:t>
  </x:si>
  <x:si>
    <x:t xml:space="preserve">resetToken giả</x:t>
  </x:si>
  <x:si>
    <x:t xml:space="preserve">Không đổi password; báo reset token invalid hoặc expired.</x:t>
  </x:si>
  <x:si>
    <x:t xml:space="preserve">API-022</x:t>
  </x:si>
  <x:si>
    <x:t xml:space="preserve">Reset token chỉ dùng một lần</x:t>
  </x:si>
  <x:si>
    <x:t xml:space="preserve">Đã reset thành công</x:t>
  </x:si>
  <x:si>
    <x:t xml:space="preserve">Dùng lại resetToken cũ</x:t>
  </x:si>
  <x:si>
    <x:t xml:space="preserve">Gửi request lần hai</x:t>
  </x:si>
  <x:si>
    <x:t xml:space="preserve">Token cũ bị từ chối.</x:t>
  </x:si>
  <x:si>
    <x:t xml:space="preserve">API-023</x:t>
  </x:si>
  <x:si>
    <x:t xml:space="preserve">Profile</x:t>
  </x:si>
  <x:si>
    <x:t xml:space="preserve">Lấy user hiện tại</x:t>
  </x:si>
  <x:si>
    <x:t xml:space="preserve">/api/users/me</x:t>
  </x:si>
  <x:si>
    <x:t xml:space="preserve">Có Bearer token hợp lệ</x:t>
  </x:si>
  <x:si>
    <x:t xml:space="preserve">Authorization: Bearer &lt;token&gt;</x:t>
  </x:si>
  <x:si>
    <x:t xml:space="preserve">Trả đúng user đang đăng nhập và không chứa password.</x:t>
  </x:si>
  <x:si>
    <x:t xml:space="preserve">API-024</x:t>
  </x:si>
  <x:si>
    <x:t xml:space="preserve">Truy cập profile không token</x:t>
  </x:si>
  <x:si>
    <x:t xml:space="preserve">Không có token</x:t>
  </x:si>
  <x:si>
    <x:t xml:space="preserve">Không gửi Authorization</x:t>
  </x:si>
  <x:si>
    <x:t xml:space="preserve">Trả Please log in.</x:t>
  </x:si>
  <x:si>
    <x:t xml:space="preserve">API-025</x:t>
  </x:si>
  <x:si>
    <x:t xml:space="preserve">Truy cập bằng token hết hạn</x:t>
  </x:si>
  <x:si>
    <x:t xml:space="preserve">Có token hết hạn/sai chữ ký</x:t>
  </x:si>
  <x:si>
    <x:t xml:space="preserve">Bearer token không hợp lệ</x:t>
  </x:si>
  <x:si>
    <x:t xml:space="preserve">Trả Invalid or expired token.</x:t>
  </x:si>
  <x:si>
    <x:t xml:space="preserve">API-026</x:t>
  </x:si>
  <x:si>
    <x:t xml:space="preserve">Lấy dữ liệu trang profile</x:t>
  </x:si>
  <x:si>
    <x:t xml:space="preserve">/api/users/me/profile</x:t>
  </x:si>
  <x:si>
    <x:t xml:space="preserve">User đã có orders/favorites</x:t>
  </x:si>
  <x:si>
    <x:t xml:space="preserve">Bearer token hợp lệ</x:t>
  </x:si>
  <x:si>
    <x:t xml:space="preserve">Trả user, tối đa 3 recentOrders và tối đa 4 favorites active.</x:t>
  </x:si>
  <x:si>
    <x:t xml:space="preserve">API-027</x:t>
  </x:si>
  <x:si>
    <x:t xml:space="preserve">Cập nhật thông tin cá nhân</x:t>
  </x:si>
  <x:si>
    <x:t xml:space="preserve">PUT</x:t>
  </x:si>
  <x:si>
    <x:t xml:space="preserve">Có token hợp lệ</x:t>
  </x:si>
  <x:si>
    <x:t xml:space="preserve">name, phone, address, dateOfBirth</x:t>
  </x:si>
  <x:si>
    <x:t xml:space="preserve">Gửi request rồi GET /me</x:t>
  </x:si>
  <x:si>
    <x:t xml:space="preserve">Các trường cho phép được cập nhật; email/role không bị thay đổi.</x:t>
  </x:si>
  <x:si>
    <x:t xml:space="preserve">API-028</x:t>
  </x:si>
  <x:si>
    <x:t xml:space="preserve">Không cho sửa role qua profile</x:t>
  </x:si>
  <x:si>
    <x:t xml:space="preserve">User customer có token</x:t>
  </x:si>
  <x:si>
    <x:t xml:space="preserve">role=admin</x:t>
  </x:si>
  <x:si>
    <x:t xml:space="preserve">Gửi request rồi đọc lại user</x:t>
  </x:si>
  <x:si>
    <x:t xml:space="preserve">Role vẫn là customer; trường ngoài whitelist bị bỏ qua.</x:t>
  </x:si>
  <x:si>
    <x:t xml:space="preserve">API-029</x:t>
  </x:si>
  <x:si>
    <x:t xml:space="preserve">Upload avatar hợp lệ</x:t>
  </x:si>
  <x:si>
    <x:t xml:space="preserve">PATCH</x:t>
  </x:si>
  <x:si>
    <x:t xml:space="preserve">/api/users/me/avatar</x:t>
  </x:si>
  <x:si>
    <x:t xml:space="preserve">multipart avatar là PNG/JPG &lt; 5 MB</x:t>
  </x:si>
  <x:si>
    <x:t xml:space="preserve">Gửi request multipart</x:t>
  </x:si>
  <x:si>
    <x:t xml:space="preserve">Avatar path được lưu và file truy cập được qua /uploads/avatars.</x:t>
  </x:si>
  <x:si>
    <x:t xml:space="preserve">API-030</x:t>
  </x:si>
  <x:si>
    <x:t xml:space="preserve">Upload avatar thiếu file</x:t>
  </x:si>
  <x:si>
    <x:t xml:space="preserve">Không có field avatar</x:t>
  </x:si>
  <x:si>
    <x:t xml:space="preserve">Gửi request multipart rỗng</x:t>
  </x:si>
  <x:si>
    <x:t xml:space="preserve">Không thay avatar; trả yêu cầu upload avatar.</x:t>
  </x:si>
  <x:si>
    <x:t xml:space="preserve">API-031</x:t>
  </x:si>
  <x:si>
    <x:t xml:space="preserve">Upload avatar không phải ảnh</x:t>
  </x:si>
  <x:si>
    <x:t xml:space="preserve">File .txt hoặc application/pdf</x:t>
  </x:si>
  <x:si>
    <x:t xml:space="preserve">Từ chối file không phải ảnh.</x:t>
  </x:si>
  <x:si>
    <x:t xml:space="preserve">API-032</x:t>
  </x:si>
  <x:si>
    <x:t xml:space="preserve">Upload avatar vượt 5 MB</x:t>
  </x:si>
  <x:si>
    <x:t xml:space="preserve">Ảnh &gt; 5 MB</x:t>
  </x:si>
  <x:si>
    <x:t xml:space="preserve">Từ chối file vượt giới hạn; avatar cũ giữ nguyên.</x:t>
  </x:si>
  <x:si>
    <x:t xml:space="preserve">API-033</x:t>
  </x:si>
  <x:si>
    <x:t xml:space="preserve">Product</x:t>
  </x:si>
  <x:si>
    <x:t xml:space="preserve">Lấy danh sách sản phẩm</x:t>
  </x:si>
  <x:si>
    <x:t xml:space="preserve">/api/products</x:t>
  </x:si>
  <x:si>
    <x:t xml:space="preserve">Mặc định page=1, limit=12</x:t>
  </x:si>
  <x:si>
    <x:t xml:space="preserve">Trả products active và pagination đúng.</x:t>
  </x:si>
  <x:si>
    <x:t xml:space="preserve">API-034</x:t>
  </x:si>
  <x:si>
    <x:t xml:space="preserve">Danh sách sản phẩm không token</x:t>
  </x:si>
  <x:si>
    <x:t xml:space="preserve">Không trả dữ liệu sản phẩm.</x:t>
  </x:si>
  <x:si>
    <x:t xml:space="preserve">API-035</x:t>
  </x:si>
  <x:si>
    <x:t xml:space="preserve">Lọc theo category</x:t>
  </x:si>
  <x:si>
    <x:t xml:space="preserve">/api/products?category=Cake</x:t>
  </x:si>
  <x:si>
    <x:t xml:space="preserve">Có nhiều category</x:t>
  </x:si>
  <x:si>
    <x:t xml:space="preserve">category=Cake</x:t>
  </x:si>
  <x:si>
    <x:t xml:space="preserve">Mọi product trả về có category Cake.</x:t>
  </x:si>
  <x:si>
    <x:t xml:space="preserve">API-036</x:t>
  </x:si>
  <x:si>
    <x:t xml:space="preserve">Tìm kiếm sản phẩm</x:t>
  </x:si>
  <x:si>
    <x:t xml:space="preserve">/api/products?search=birthday</x:t>
  </x:si>
  <x:si>
    <x:t xml:space="preserve">Có dữ liệu phù hợp</x:t>
  </x:si>
  <x:si>
    <x:t xml:space="preserve">search=birthday</x:t>
  </x:si>
  <x:si>
    <x:t xml:space="preserve">Kết quả khớp name, description hoặc category không phân biệt hoa thường.</x:t>
  </x:si>
  <x:si>
    <x:t xml:space="preserve">API-037</x:t>
  </x:si>
  <x:si>
    <x:t xml:space="preserve">Phân trang và giới hạn tối đa</x:t>
  </x:si>
  <x:si>
    <x:t xml:space="preserve">/api/products?page=2&amp;limit=200</x:t>
  </x:si>
  <x:si>
    <x:t xml:space="preserve">Có hơn 12 sản phẩm</x:t>
  </x:si>
  <x:si>
    <x:t xml:space="preserve">page=2, limit=200</x:t>
  </x:si>
  <x:si>
    <x:t xml:space="preserve">Limit được chặn tối đa 100; pagination total/pages đúng.</x:t>
  </x:si>
  <x:si>
    <x:t xml:space="preserve">API-038</x:t>
  </x:si>
  <x:si>
    <x:t xml:space="preserve">Lấy chi tiết sản phẩm</x:t>
  </x:si>
  <x:si>
    <x:t xml:space="preserve">/api/products/:id</x:t>
  </x:si>
  <x:si>
    <x:t xml:space="preserve">Product tồn tại</x:t>
  </x:si>
  <x:si>
    <x:t xml:space="preserve">productId hợp lệ</x:t>
  </x:si>
  <x:si>
    <x:t xml:space="preserve">Trả images dạng mảng, reviews có user name/avatar, ratingAverage và reviewCount.</x:t>
  </x:si>
  <x:si>
    <x:t xml:space="preserve">API-039</x:t>
  </x:si>
  <x:si>
    <x:t xml:space="preserve">Chi tiết sản phẩm không tồn tại</x:t>
  </x:si>
  <x:si>
    <x:t xml:space="preserve">Có token</x:t>
  </x:si>
  <x:si>
    <x:t xml:space="preserve">ObjectId hợp lệ nhưng không có dữ liệu</x:t>
  </x:si>
  <x:si>
    <x:t xml:space="preserve">Trả Product not found.</x:t>
  </x:si>
  <x:si>
    <x:t xml:space="preserve">API-040</x:t>
  </x:si>
  <x:si>
    <x:t xml:space="preserve">Chi tiết với id sai định dạng</x:t>
  </x:si>
  <x:si>
    <x:t xml:space="preserve">/api/products/not-an-id</x:t>
  </x:si>
  <x:si>
    <x:t xml:space="preserve">id không phải ObjectId</x:t>
  </x:si>
  <x:si>
    <x:t xml:space="preserve">Trả lỗi dữ liệu id, server không bị dừng.</x:t>
  </x:si>
  <x:si>
    <x:t xml:space="preserve">API-041</x:t>
  </x:si>
  <x:si>
    <x:t xml:space="preserve">Admin tạo product bằng URL ảnh</x:t>
  </x:si>
  <x:si>
    <x:t xml:space="preserve">Token admin</x:t>
  </x:si>
  <x:si>
    <x:t xml:space="preserve">JSON có images là mảng URL và đủ trường bắt buộc</x:t>
  </x:si>
  <x:si>
    <x:t xml:space="preserve">Tạo product, sinh slug và trả images[].</x:t>
  </x:si>
  <x:si>
    <x:t xml:space="preserve">API-042</x:t>
  </x:si>
  <x:si>
    <x:t xml:space="preserve">Admin upload nhiều ảnh product</x:t>
  </x:si>
  <x:si>
    <x:t xml:space="preserve">multipart với nhiều field images</x:t>
  </x:si>
  <x:si>
    <x:t xml:space="preserve">Lưu tối đa 10 ảnh vào /uploads/products và trả đúng thứ tự images.</x:t>
  </x:si>
  <x:si>
    <x:t xml:space="preserve">API-043</x:t>
  </x:si>
  <x:si>
    <x:t xml:space="preserve">Tạo product thiếu ảnh</x:t>
  </x:si>
  <x:si>
    <x:t xml:space="preserve">Không có images/image</x:t>
  </x:si>
  <x:si>
    <x:t xml:space="preserve">Không tạo product; báo cần ít nhất một ảnh.</x:t>
  </x:si>
  <x:si>
    <x:t xml:space="preserve">API-044</x:t>
  </x:si>
  <x:si>
    <x:t xml:space="preserve">Customer tạo product</x:t>
  </x:si>
  <x:si>
    <x:t xml:space="preserve">Token customer</x:t>
  </x:si>
  <x:si>
    <x:t xml:space="preserve">Payload hợp lệ</x:t>
  </x:si>
  <x:si>
    <x:t xml:space="preserve">Không tạo product; báo cần quyền admin.</x:t>
  </x:si>
  <x:si>
    <x:t xml:space="preserve">API-045</x:t>
  </x:si>
  <x:si>
    <x:t xml:space="preserve">Admin cập nhật product</x:t>
  </x:si>
  <x:si>
    <x:t xml:space="preserve">Token admin, product tồn tại</x:t>
  </x:si>
  <x:si>
    <x:t xml:space="preserve">price, stock, status, images</x:t>
  </x:si>
  <x:si>
    <x:t xml:space="preserve">Gửi request rồi GET detail</x:t>
  </x:si>
  <x:si>
    <x:t xml:space="preserve">Chỉ trường gửi lên thay đổi; dữ liệu khác được giữ nguyên.</x:t>
  </x:si>
  <x:si>
    <x:t xml:space="preserve">API-046</x:t>
  </x:si>
  <x:si>
    <x:t xml:space="preserve">Admin xóa product</x:t>
  </x:si>
  <x:si>
    <x:t xml:space="preserve">DELETE</x:t>
  </x:si>
  <x:si>
    <x:t xml:space="preserve">Token admin, product test tồn tại</x:t>
  </x:si>
  <x:si>
    <x:t xml:space="preserve">productId</x:t>
  </x:si>
  <x:si>
    <x:t xml:space="preserve">Gửi DELETE rồi GET detail</x:t>
  </x:si>
  <x:si>
    <x:t xml:space="preserve">Product bị xóa; lần GET sau trả 404.</x:t>
  </x:si>
  <x:si>
    <x:t xml:space="preserve">API-047</x:t>
  </x:si>
  <x:si>
    <x:t xml:space="preserve">Customer xóa product</x:t>
  </x:si>
  <x:si>
    <x:t xml:space="preserve">Gửi DELETE</x:t>
  </x:si>
  <x:si>
    <x:t xml:space="preserve">Product không bị xóa.</x:t>
  </x:si>
  <x:si>
    <x:t xml:space="preserve">API-048</x:t>
  </x:si>
  <x:si>
    <x:t xml:space="preserve">Review</x:t>
  </x:si>
  <x:si>
    <x:t xml:space="preserve">Tạo review hợp lệ</x:t>
  </x:si>
  <x:si>
    <x:t xml:space="preserve">/api/products/:id/reviews</x:t>
  </x:si>
  <x:si>
    <x:t xml:space="preserve">Token customer, chưa review product</x:t>
  </x:si>
  <x:si>
    <x:t xml:space="preserve">rating=5, comment hợp lệ</x:t>
  </x:si>
  <x:si>
    <x:t xml:space="preserve">Gửi request rồi GET product detail</x:t>
  </x:si>
  <x:si>
    <x:t xml:space="preserve">Review được lưu; reviewCount và ratingAverage cập nhật.</x:t>
  </x:si>
  <x:si>
    <x:t xml:space="preserve">API-049</x:t>
  </x:si>
  <x:si>
    <x:t xml:space="preserve">Rating ngoài khoảng</x:t>
  </x:si>
  <x:si>
    <x:t xml:space="preserve">rating=0 hoặc 6</x:t>
  </x:si>
  <x:si>
    <x:t xml:space="preserve">Không tạo review; rating phải là số nguyên 1-5.</x:t>
  </x:si>
  <x:si>
    <x:t xml:space="preserve">API-050</x:t>
  </x:si>
  <x:si>
    <x:t xml:space="preserve">Comment rỗng</x:t>
  </x:si>
  <x:si>
    <x:t xml:space="preserve">rating=5, comment chỉ có khoảng trắng</x:t>
  </x:si>
  <x:si>
    <x:t xml:space="preserve">Không tạo review; comment là bắt buộc.</x:t>
  </x:si>
  <x:si>
    <x:t xml:space="preserve">API-051</x:t>
  </x:si>
  <x:si>
    <x:t xml:space="preserve">Review trùng cùng user/product</x:t>
  </x:si>
  <x:si>
    <x:t xml:space="preserve">User đã review product</x:t>
  </x:si>
  <x:si>
    <x:t xml:space="preserve">Review thứ hai</x:t>
  </x:si>
  <x:si>
    <x:t xml:space="preserve">Không tạo bản ghi review thứ hai.</x:t>
  </x:si>
  <x:si>
    <x:t xml:space="preserve">API-052</x:t>
  </x:si>
  <x:si>
    <x:t xml:space="preserve">Sửa review của chính mình</x:t>
  </x:si>
  <x:si>
    <x:t xml:space="preserve">/api/products/:id/reviews/:reviewId</x:t>
  </x:si>
  <x:si>
    <x:t xml:space="preserve">Review thuộc user</x:t>
  </x:si>
  <x:si>
    <x:t xml:space="preserve">rating/comment mới</x:t>
  </x:si>
  <x:si>
    <x:t xml:space="preserve">Review và ratingAverage được cập nhật.</x:t>
  </x:si>
  <x:si>
    <x:t xml:space="preserve">API-053</x:t>
  </x:si>
  <x:si>
    <x:t xml:space="preserve">User sửa review của người khác</x:t>
  </x:si>
  <x:si>
    <x:t xml:space="preserve">Review thuộc user khác</x:t>
  </x:si>
  <x:si>
    <x:t xml:space="preserve">Gửi request bằng token customer</x:t>
  </x:si>
  <x:si>
    <x:t xml:space="preserve">Review giữ nguyên; báo chỉ được sửa review của mình.</x:t>
  </x:si>
  <x:si>
    <x:t xml:space="preserve">API-054</x:t>
  </x:si>
  <x:si>
    <x:t xml:space="preserve">Xóa review của chính mình</x:t>
  </x:si>
  <x:si>
    <x:t xml:space="preserve">reviewId</x:t>
  </x:si>
  <x:si>
    <x:t xml:space="preserve">Review bị xóa; reviewCount/ratingAverage tính lại.</x:t>
  </x:si>
  <x:si>
    <x:t xml:space="preserve">API-055</x:t>
  </x:si>
  <x:si>
    <x:t xml:space="preserve">Admin xóa review bất kỳ</x:t>
  </x:si>
  <x:si>
    <x:t xml:space="preserve">Token admin, review tồn tại</x:t>
  </x:si>
  <x:si>
    <x:t xml:space="preserve">reviewId của customer</x:t>
  </x:si>
  <x:si>
    <x:t xml:space="preserve">Admin xóa được review và tổng điểm được tính lại.</x:t>
  </x:si>
  <x:si>
    <x:t xml:space="preserve">API-056</x:t>
  </x:si>
  <x:si>
    <x:t xml:space="preserve">Favorite</x:t>
  </x:si>
  <x:si>
    <x:t xml:space="preserve">Lấy danh sách yêu thích</x:t>
  </x:si>
  <x:si>
    <x:t xml:space="preserve">/api/users/me/favorites</x:t>
  </x:si>
  <x:si>
    <x:t xml:space="preserve">User có favorites</x:t>
  </x:si>
  <x:si>
    <x:t xml:space="preserve">Bearer token</x:t>
  </x:si>
  <x:si>
    <x:t xml:space="preserve">Chỉ trả product active trong favorites.</x:t>
  </x:si>
  <x:si>
    <x:t xml:space="preserve">API-057</x:t>
  </x:si>
  <x:si>
    <x:t xml:space="preserve">Thêm sản phẩm yêu thích</x:t>
  </x:si>
  <x:si>
    <x:t xml:space="preserve">/api/users/me/favorites/:productId</x:t>
  </x:si>
  <x:si>
    <x:t xml:space="preserve">Gửi request rồi GET favorites</x:t>
  </x:si>
  <x:si>
    <x:t xml:space="preserve">Product xuất hiện một lần trong favorites.</x:t>
  </x:si>
  <x:si>
    <x:t xml:space="preserve">API-058</x:t>
  </x:si>
  <x:si>
    <x:t xml:space="preserve">Thêm favorite trùng</x:t>
  </x:si>
  <x:si>
    <x:t xml:space="preserve">Product đã có trong favorites</x:t>
  </x:si>
  <x:si>
    <x:t xml:space="preserve">Cùng productId</x:t>
  </x:si>
  <x:si>
    <x:t xml:space="preserve">Không tạo phần tử trùng trong mảng favorites.</x:t>
  </x:si>
  <x:si>
    <x:t xml:space="preserve">API-059</x:t>
  </x:si>
  <x:si>
    <x:t xml:space="preserve">Xóa favorite</x:t>
  </x:si>
  <x:si>
    <x:t xml:space="preserve">Product đang trong favorites</x:t>
  </x:si>
  <x:si>
    <x:t xml:space="preserve">Product bị loại khỏi favorites.</x:t>
  </x:si>
  <x:si>
    <x:t xml:space="preserve">API-060</x:t>
  </x:si>
  <x:si>
    <x:t xml:space="preserve">Cart</x:t>
  </x:si>
  <x:si>
    <x:t xml:space="preserve">Lấy cart</x:t>
  </x:si>
  <x:si>
    <x:t xml:space="preserve">/api/users/me/cart</x:t>
  </x:si>
  <x:si>
    <x:t xml:space="preserve">Trả mảng cart và populate product active.</x:t>
  </x:si>
  <x:si>
    <x:t xml:space="preserve">API-061</x:t>
  </x:si>
  <x:si>
    <x:t xml:space="preserve">Thêm product vào cart</x:t>
  </x:si>
  <x:si>
    <x:t xml:space="preserve">/api/users/me/cart/:productId</x:t>
  </x:si>
  <x:si>
    <x:t xml:space="preserve">Product active</x:t>
  </x:si>
  <x:si>
    <x:t xml:space="preserve">quantity=2</x:t>
  </x:si>
  <x:si>
    <x:t xml:space="preserve">Cart có product với quantity=2.</x:t>
  </x:si>
  <x:si>
    <x:t xml:space="preserve">API-062</x:t>
  </x:si>
  <x:si>
    <x:t xml:space="preserve">Thêm lại product tăng số lượng</x:t>
  </x:si>
  <x:si>
    <x:t xml:space="preserve">Product đã có quantity=2</x:t>
  </x:si>
  <x:si>
    <x:t xml:space="preserve">quantity=1</x:t>
  </x:si>
  <x:si>
    <x:t xml:space="preserve">Không thêm dòng trùng; quantity thành 3.</x:t>
  </x:si>
  <x:si>
    <x:t xml:space="preserve">API-063</x:t>
  </x:si>
  <x:si>
    <x:t xml:space="preserve">Thêm quantity không hợp lệ</x:t>
  </x:si>
  <x:si>
    <x:t xml:space="preserve">quantity=0, -1 hoặc 1.5</x:t>
  </x:si>
  <x:si>
    <x:t xml:space="preserve">Gửi từng request</x:t>
  </x:si>
  <x:si>
    <x:t xml:space="preserve">Cart không thay đổi; quantity phải là số nguyên dương.</x:t>
  </x:si>
  <x:si>
    <x:t xml:space="preserve">API-064</x:t>
  </x:si>
  <x:si>
    <x:t xml:space="preserve">Thêm product unavailable</x:t>
  </x:si>
  <x:si>
    <x:t xml:space="preserve">Product inactive/out-of-stock/không tồn tại</x:t>
  </x:si>
  <x:si>
    <x:t xml:space="preserve">Không thêm cart; báo product unavailable.</x:t>
  </x:si>
  <x:si>
    <x:t xml:space="preserve">API-065</x:t>
  </x:si>
  <x:si>
    <x:t xml:space="preserve">Cập nhật số lượng</x:t>
  </x:si>
  <x:si>
    <x:t xml:space="preserve">Product có trong cart</x:t>
  </x:si>
  <x:si>
    <x:t xml:space="preserve">quantity=4</x:t>
  </x:si>
  <x:si>
    <x:t xml:space="preserve">Quantity cập nhật thành 4.</x:t>
  </x:si>
  <x:si>
    <x:t xml:space="preserve">API-066</x:t>
  </x:si>
  <x:si>
    <x:t xml:space="preserve">Cập nhật product không trong cart</x:t>
  </x:si>
  <x:si>
    <x:t xml:space="preserve">Product không có trong cart</x:t>
  </x:si>
  <x:si>
    <x:t xml:space="preserve">Báo Product is not in your cart.</x:t>
  </x:si>
  <x:si>
    <x:t xml:space="preserve">API-067</x:t>
  </x:si>
  <x:si>
    <x:t xml:space="preserve">Xóa một product khỏi cart</x:t>
  </x:si>
  <x:si>
    <x:t xml:space="preserve">Dòng cart tương ứng bị xóa.</x:t>
  </x:si>
  <x:si>
    <x:t xml:space="preserve">API-068</x:t>
  </x:si>
  <x:si>
    <x:t xml:space="preserve">Xóa toàn bộ cart</x:t>
  </x:si>
  <x:si>
    <x:t xml:space="preserve">Cart có nhiều product</x:t>
  </x:si>
  <x:si>
    <x:t xml:space="preserve">Gửi request rồi GET cart</x:t>
  </x:si>
  <x:si>
    <x:t xml:space="preserve">Cart trở thành mảng rỗng.</x:t>
  </x:si>
  <x:si>
    <x:t xml:space="preserve">API-069</x:t>
  </x:si>
  <x:si>
    <x:t xml:space="preserve">Order</x:t>
  </x:si>
  <x:si>
    <x:t xml:space="preserve">Tạo order từ cart</x:t>
  </x:si>
  <x:si>
    <x:t xml:space="preserve">/api/orders</x:t>
  </x:si>
  <x:si>
    <x:t xml:space="preserve">Cart có product đủ tồn kho</x:t>
  </x:si>
  <x:si>
    <x:t xml:space="preserve">shippingAddress, paymentMethod=COD</x:t>
  </x:si>
  <x:si>
    <x:t xml:space="preserve">Gửi request không có items/productId</x:t>
  </x:si>
  <x:si>
    <x:t xml:space="preserve">Tạo order từ toàn bộ cart, tính subtotal/total, trừ stock và xóa cart.</x:t>
  </x:si>
  <x:si>
    <x:t xml:space="preserve">API-070</x:t>
  </x:si>
  <x:si>
    <x:t xml:space="preserve">Tạo order một product</x:t>
  </x:si>
  <x:si>
    <x:t xml:space="preserve">Product active, đủ stock</x:t>
  </x:si>
  <x:si>
    <x:t xml:space="preserve">productId, quantity=2</x:t>
  </x:si>
  <x:si>
    <x:t xml:space="preserve">Tạo order một item, lineTotal=price*2 và total đúng.</x:t>
  </x:si>
  <x:si>
    <x:t xml:space="preserve">API-071</x:t>
  </x:si>
  <x:si>
    <x:t xml:space="preserve">Tạo order nhiều product</x:t>
  </x:si>
  <x:si>
    <x:t xml:space="preserve">Các product active và đủ stock</x:t>
  </x:si>
  <x:si>
    <x:t xml:space="preserve">items gồm 2 product</x:t>
  </x:si>
  <x:si>
    <x:t xml:space="preserve">Mỗi item lưu snapshot name/image/price; subtotal bằng tổng lineTotal.</x:t>
  </x:si>
  <x:si>
    <x:t xml:space="preserve">API-072</x:t>
  </x:si>
  <x:si>
    <x:t xml:space="preserve">Tạo order khi cart rỗng</x:t>
  </x:si>
  <x:si>
    <x:t xml:space="preserve">Cart rỗng</x:t>
  </x:si>
  <x:si>
    <x:t xml:space="preserve">Không gửi productId/items</x:t>
  </x:si>
  <x:si>
    <x:t xml:space="preserve">Không tạo order; trả Your cart is empty.</x:t>
  </x:si>
  <x:si>
    <x:t xml:space="preserve">API-073</x:t>
  </x:si>
  <x:si>
    <x:t xml:space="preserve">Order vượt tồn kho</x:t>
  </x:si>
  <x:si>
    <x:t xml:space="preserve">Product có stock thấp</x:t>
  </x:si>
  <x:si>
    <x:t xml:space="preserve">quantity &gt; stock</x:t>
  </x:si>
  <x:si>
    <x:t xml:space="preserve">Không tạo order; stock không bị thay đổi một phần.</x:t>
  </x:si>
  <x:si>
    <x:t xml:space="preserve">API-074</x:t>
  </x:si>
  <x:si>
    <x:t xml:space="preserve">Order có item sai định dạng</x:t>
  </x:si>
  <x:si>
    <x:t xml:space="preserve">productId sai hoặc quantity &lt;= 0</x:t>
  </x:si>
  <x:si>
    <x:t xml:space="preserve">Không tạo order; trả lỗi item hợp lệ.</x:t>
  </x:si>
  <x:si>
    <x:t xml:space="preserve">API-075</x:t>
  </x:si>
  <x:si>
    <x:t xml:space="preserve">Payment method không hợp lệ</x:t>
  </x:si>
  <x:si>
    <x:t xml:space="preserve">Product đủ stock</x:t>
  </x:si>
  <x:si>
    <x:t xml:space="preserve">paymentMethod=Credit Card</x:t>
  </x:si>
  <x:si>
    <x:t xml:space="preserve">Không tạo order; stock được hoàn lại.</x:t>
  </x:si>
  <x:si>
    <x:t xml:space="preserve">API-076</x:t>
  </x:si>
  <x:si>
    <x:t xml:space="preserve">Không tin total từ client</x:t>
  </x:si>
  <x:si>
    <x:t xml:space="preserve">Gửi total=1 cùng productId</x:t>
  </x:si>
  <x:si>
    <x:t xml:space="preserve">Server bỏ qua total client và tính theo giá trong database.</x:t>
  </x:si>
  <x:si>
    <x:t xml:space="preserve">API-077</x:t>
  </x:si>
  <x:si>
    <x:t xml:space="preserve">Lấy lịch sử order</x:t>
  </x:si>
  <x:si>
    <x:t xml:space="preserve">/api/orders/my</x:t>
  </x:si>
  <x:si>
    <x:t xml:space="preserve">User có nhiều order</x:t>
  </x:si>
  <x:si>
    <x:t xml:space="preserve">Chỉ trả order của user, sắp xếp mới nhất trước.</x:t>
  </x:si>
  <x:si>
    <x:t xml:space="preserve">API-078</x:t>
  </x:si>
  <x:si>
    <x:t xml:space="preserve">Không xem order của user khác</x:t>
  </x:si>
  <x:si>
    <x:t xml:space="preserve">/api/orders/:id</x:t>
  </x:si>
  <x:si>
    <x:t xml:space="preserve">orderId thuộc user khác</x:t>
  </x:si>
  <x:si>
    <x:t xml:space="preserve">Token customer khác</x:t>
  </x:si>
  <x:si>
    <x:t xml:space="preserve">Không lộ thông tin order của người khác.</x:t>
  </x:si>
  <x:si>
    <x:t xml:space="preserve">API-079</x:t>
  </x:si>
  <x:si>
    <x:t xml:space="preserve">Hủy order đang xử lý</x:t>
  </x:si>
  <x:si>
    <x:t xml:space="preserve">/api/orders/:id/cancel</x:t>
  </x:si>
  <x:si>
    <x:t xml:space="preserve">Order thuộc user, status=In Progress</x:t>
  </x:si>
  <x:si>
    <x:t xml:space="preserve">orderId</x:t>
  </x:si>
  <x:si>
    <x:t xml:space="preserve">Gửi request rồi kiểm tra stock</x:t>
  </x:si>
  <x:si>
    <x:t xml:space="preserve">Status thành Cancelled và stock từng item được hoàn lại.</x:t>
  </x:si>
  <x:si>
    <x:t xml:space="preserve">API-080</x:t>
  </x:si>
  <x:si>
    <x:t xml:space="preserve">Hủy lại order đã hủy/giao</x:t>
  </x:si>
  <x:si>
    <x:t xml:space="preserve">Order không còn In Progress</x:t>
  </x:si>
  <x:si>
    <x:t xml:space="preserve">Không hoàn stock lần hai; báo chỉ hủy order đang xử lý.</x:t>
  </x:si>
  <x:si>
    <x:t xml:space="preserve">API-081</x:t>
  </x:si>
  <x:si>
    <x:t xml:space="preserve">Special Order</x:t>
  </x:si>
  <x:si>
    <x:t xml:space="preserve">Gửi special order pickup</x:t>
  </x:si>
  <x:si>
    <x:t xml:space="preserve">/api/special-orders</x:t>
  </x:si>
  <x:si>
    <x:t xml:space="preserve">SMTP hoặc jsonTransport hoạt động</x:t>
  </x:si>
  <x:si>
    <x:t xml:space="preserve">name, email, phone, deliveryOption=pickup, orderDetails</x:t>
  </x:si>
  <x:si>
    <x:t xml:space="preserve">Tạo requestNumber, status Pending; gửi email khách và admin.</x:t>
  </x:si>
  <x:si>
    <x:t xml:space="preserve">API-082</x:t>
  </x:si>
  <x:si>
    <x:t xml:space="preserve">Gửi special order delivery</x:t>
  </x:si>
  <x:si>
    <x:t xml:space="preserve">Đủ address1, city, zipCode</x:t>
  </x:si>
  <x:si>
    <x:t xml:space="preserve">Lưu đầy đủ địa chỉ và thông tin yêu cầu.</x:t>
  </x:si>
  <x:si>
    <x:t xml:space="preserve">API-083</x:t>
  </x:si>
  <x:si>
    <x:t xml:space="preserve">Thiếu trường bắt buộc</x:t>
  </x:si>
  <x:si>
    <x:t xml:space="preserve">Thiếu name/email/phone/deliveryOption/orderDetails</x:t>
  </x:si>
  <x:si>
    <x:t xml:space="preserve">Gửi từng payload</x:t>
  </x:si>
  <x:si>
    <x:t xml:space="preserve">Không tạo bản ghi và không gửi mail.</x:t>
  </x:si>
  <x:si>
    <x:t xml:space="preserve">API-084</x:t>
  </x:si>
  <x:si>
    <x:t xml:space="preserve">Delivery thiếu địa chỉ</x:t>
  </x:si>
  <x:si>
    <x:t xml:space="preserve">deliveryOption=shipping, thiếu address1/city/zipCode</x:t>
  </x:si>
  <x:si>
    <x:t xml:space="preserve">Không tạo request; yêu cầu đủ địa chỉ giao hàng.</x:t>
  </x:si>
  <x:si>
    <x:t xml:space="preserve">API-085</x:t>
  </x:si>
  <x:si>
    <x:t xml:space="preserve">Admin lấy danh sách</x:t>
  </x:si>
  <x:si>
    <x:t xml:space="preserve">/api/special-orders?status=Pending</x:t>
  </x:si>
  <x:si>
    <x:t xml:space="preserve">status=Pending</x:t>
  </x:si>
  <x:si>
    <x:t xml:space="preserve">Trả danh sách Pending có pagination.</x:t>
  </x:si>
  <x:si>
    <x:t xml:space="preserve">API-086</x:t>
  </x:si>
  <x:si>
    <x:t xml:space="preserve">Customer truy cập danh sách admin</x:t>
  </x:si>
  <x:si>
    <x:t xml:space="preserve">Không trả dữ liệu special order.</x:t>
  </x:si>
  <x:si>
    <x:t xml:space="preserve">API-087</x:t>
  </x:si>
  <x:si>
    <x:t xml:space="preserve">Admin cập nhật trạng thái</x:t>
  </x:si>
  <x:si>
    <x:t xml:space="preserve">/api/special-orders/:id</x:t>
  </x:si>
  <x:si>
    <x:t xml:space="preserve">Token admin, request tồn tại</x:t>
  </x:si>
  <x:si>
    <x:t xml:space="preserve">status=Reviewing, adminNote</x:t>
  </x:si>
  <x:si>
    <x:t xml:space="preserve">Status và adminNote được cập nhật.</x:t>
  </x:si>
  <x:si>
    <x:t xml:space="preserve">API-088</x:t>
  </x:si>
  <x:si>
    <x:t xml:space="preserve">Cập nhật status ngoài enum</x:t>
  </x:si>
  <x:si>
    <x:t xml:space="preserve">status=Unknown</x:t>
  </x:si>
  <x:si>
    <x:t xml:space="preserve">Không cập nhật; trả lỗi validation.</x:t>
  </x:si>
  <x:si>
    <x:t xml:space="preserve">API-089</x:t>
  </x:si>
  <x:si>
    <x:t xml:space="preserve">Nội dung HTML trong yêu cầu</x:t>
  </x:si>
  <x:si>
    <x:t xml:space="preserve">orderDetails chứa &lt;script&gt;</x:t>
  </x:si>
  <x:si>
    <x:t xml:space="preserve">Gửi request và kiểm tra email render</x:t>
  </x:si>
  <x:si>
    <x:t xml:space="preserve">Nội dung được coi là text trong email, không thực thi script.</x:t>
  </x:si>
  <x:si>
    <x:t xml:space="preserve">API-090</x:t>
  </x:si>
  <x:si>
    <x:t xml:space="preserve">Contact</x:t>
  </x:si>
  <x:si>
    <x:t xml:space="preserve">Gửi contact message hợp lệ</x:t>
  </x:si>
  <x:si>
    <x:t xml:space="preserve">/api/contact</x:t>
  </x:si>
  <x:si>
    <x:t xml:space="preserve">name, email, message</x:t>
  </x:si>
  <x:si>
    <x:t xml:space="preserve">Tạo ticketNumber, status New; gửi email chờ xử lý cho user và thông báo admin.</x:t>
  </x:si>
  <x:si>
    <x:t xml:space="preserve">API-091</x:t>
  </x:si>
  <x:si>
    <x:t xml:space="preserve">Contact thiếu trường</x:t>
  </x:si>
  <x:si>
    <x:t xml:space="preserve">Thiếu name/email/message</x:t>
  </x:si>
  <x:si>
    <x:t xml:space="preserve">Không tạo message và không gửi email.</x:t>
  </x:si>
  <x:si>
    <x:t xml:space="preserve">API-092</x:t>
  </x:si>
  <x:si>
    <x:t xml:space="preserve">Contact email sai</x:t>
  </x:si>
  <x:si>
    <x:t xml:space="preserve">Không lưu bản ghi; báo email không hợp lệ.</x:t>
  </x:si>
  <x:si>
    <x:t xml:space="preserve">API-093</x:t>
  </x:si>
  <x:si>
    <x:t xml:space="preserve">Contact message vượt 3000 ký tự</x:t>
  </x:si>
  <x:si>
    <x:t xml:space="preserve">message dài 3001 ký tự</x:t>
  </x:si>
  <x:si>
    <x:t xml:space="preserve">Không lưu bản ghi; báo giới hạn nội dung.</x:t>
  </x:si>
  <x:si>
    <x:t xml:space="preserve">API-094</x:t>
  </x:si>
  <x:si>
    <x:t xml:space="preserve">Admin lấy contact list</x:t>
  </x:si>
  <x:si>
    <x:t xml:space="preserve">/api/contact?status=New</x:t>
  </x:si>
  <x:si>
    <x:t xml:space="preserve">status=New</x:t>
  </x:si>
  <x:si>
    <x:t xml:space="preserve">Trả danh sách message New có pagination.</x:t>
  </x:si>
  <x:si>
    <x:t xml:space="preserve">API-095</x:t>
  </x:si>
  <x:si>
    <x:t xml:space="preserve">Customer truy cập contact admin</x:t>
  </x:si>
  <x:si>
    <x:t xml:space="preserve">Không lộ nội dung contact message.</x:t>
  </x:si>
  <x:si>
    <x:t xml:space="preserve">API-096</x:t>
  </x:si>
  <x:si>
    <x:t xml:space="preserve">Admin lấy contact detail</x:t>
  </x:si>
  <x:si>
    <x:t xml:space="preserve">/api/contact/:id</x:t>
  </x:si>
  <x:si>
    <x:t xml:space="preserve">Token admin, ticket tồn tại</x:t>
  </x:si>
  <x:si>
    <x:t xml:space="preserve">contactMessageId</x:t>
  </x:si>
  <x:si>
    <x:t xml:space="preserve">Trả đúng ticket và nội dung message.</x:t>
  </x:si>
  <x:si>
    <x:t xml:space="preserve">API-097</x:t>
  </x:si>
  <x:si>
    <x:t xml:space="preserve">status=In Progress, adminNote</x:t>
  </x:si>
  <x:si>
    <x:t xml:space="preserve">API-098</x:t>
  </x:si>
  <x:si>
    <x:t xml:space="preserve">XSS trong contact message</x:t>
  </x:si>
  <x:si>
    <x:t xml:space="preserve">message chứa HTML/script</x:t>
  </x:si>
  <x:si>
    <x:t xml:space="preserve">HTML được escape trong email, không thực thi script.</x:t>
  </x:si>
  <x:si>
    <x:t xml:space="preserve">SugarBliss UI Test Cases</x:t>
  </x:si>
  <x:si>
    <x:t xml:space="preserve">Phạm vi: các màn người dùng, component header/footer, responsive, tích hợp API và xử lý lỗi.</x:t>
  </x:si>
  <x:si>
    <x:t xml:space="preserve">Màn hình</x:t>
  </x:si>
  <x:si>
    <x:t xml:space="preserve">Browser / Viewport</x:t>
  </x:si>
  <x:si>
    <x:t xml:space="preserve">UI-001</x:t>
  </x:si>
  <x:si>
    <x:t xml:space="preserve">Login</x:t>
  </x:si>
  <x:si>
    <x:t xml:space="preserve">Hiển thị đúng bố cục</x:t>
  </x:si>
  <x:si>
    <x:t xml:space="preserve">Visual</x:t>
  </x:si>
  <x:si>
    <x:t xml:space="preserve">Mở /login</x:t>
  </x:si>
  <x:si>
    <x:t xml:space="preserve">Quan sát logo, ảnh cake1, form và liên kết</x:t>
  </x:si>
  <x:si>
    <x:t xml:space="preserve">Không chồng lấn; các thành phần đúng kích thước và giống thiết kế.</x:t>
  </x:si>
  <x:si>
    <x:t xml:space="preserve">Chrome 1366x768</x:t>
  </x:si>
  <x:si>
    <x:t xml:space="preserve">UI-002</x:t>
  </x:si>
  <x:si>
    <x:t xml:space="preserve">Functional</x:t>
  </x:si>
  <x:si>
    <x:t xml:space="preserve">Có tài khoản active</x:t>
  </x:si>
  <x:si>
    <x:t xml:space="preserve">Nhập email/password đúng và Submit</x:t>
  </x:si>
  <x:si>
    <x:t xml:space="preserve">Lưu token/user, chuyển đến /home.</x:t>
  </x:si>
  <x:si>
    <x:t xml:space="preserve">Desktop</x:t>
  </x:si>
  <x:si>
    <x:t xml:space="preserve">UI-003</x:t>
  </x:si>
  <x:si>
    <x:t xml:space="preserve">Hiển thị lỗi đăng nhập bằng tiếng Anh</x:t>
  </x:si>
  <x:si>
    <x:t xml:space="preserve">Có tài khoản</x:t>
  </x:si>
  <x:si>
    <x:t xml:space="preserve">Nhập mật khẩu sai</x:t>
  </x:si>
  <x:si>
    <x:t xml:space="preserve">Hiển thị lỗi tiếng Anh từ API, không chuyển trang.</x:t>
  </x:si>
  <x:si>
    <x:t xml:space="preserve">Desktop/Mobile</x:t>
  </x:si>
  <x:si>
    <x:t xml:space="preserve">UI-004</x:t>
  </x:si>
  <x:si>
    <x:t xml:space="preserve">Liên kết Forgot Password</x:t>
  </x:si>
  <x:si>
    <x:t xml:space="preserve">Navigation</x:t>
  </x:si>
  <x:si>
    <x:t xml:space="preserve">Nhấn Forgot Your Password?</x:t>
  </x:si>
  <x:si>
    <x:t xml:space="preserve">Chuyển đến /forgot-password.</x:t>
  </x:si>
  <x:si>
    <x:t xml:space="preserve">UI-005</x:t>
  </x:si>
  <x:si>
    <x:t xml:space="preserve">Register</x:t>
  </x:si>
  <x:si>
    <x:t xml:space="preserve">Đăng ký thành công</x:t>
  </x:si>
  <x:si>
    <x:t xml:space="preserve">Email mới</x:t>
  </x:si>
  <x:si>
    <x:t xml:space="preserve">Nhập email, password, confirm đúng và Submit</x:t>
  </x:si>
  <x:si>
    <x:t xml:space="preserve">Tạo tài khoản, lưu token và chuyển /home.</x:t>
  </x:si>
  <x:si>
    <x:t xml:space="preserve">UI-006</x:t>
  </x:si>
  <x:si>
    <x:t xml:space="preserve">Xác nhận mật khẩu không khớp</x:t>
  </x:si>
  <x:si>
    <x:t xml:space="preserve">Mở /register</x:t>
  </x:si>
  <x:si>
    <x:t xml:space="preserve">Nhập hai mật khẩu khác nhau</x:t>
  </x:si>
  <x:si>
    <x:t xml:space="preserve">Không gửi API; hiển thị lỗi tiếng Anh.</x:t>
  </x:si>
  <x:si>
    <x:t xml:space="preserve">UI-007</x:t>
  </x:si>
  <x:si>
    <x:t xml:space="preserve">Forgot Password</x:t>
  </x:si>
  <x:si>
    <x:t xml:space="preserve">Gửi OTP</x:t>
  </x:si>
  <x:si>
    <x:t xml:space="preserve">Email user tồn tại</x:t>
  </x:si>
  <x:si>
    <x:t xml:space="preserve">Nhập email và Submit</x:t>
  </x:si>
  <x:si>
    <x:t xml:space="preserve">Hiển thị trạng thái thành công và chuyển sang màn OTP.</x:t>
  </x:si>
  <x:si>
    <x:t xml:space="preserve">UI-008</x:t>
  </x:si>
  <x:si>
    <x:t xml:space="preserve">OTP Verification</x:t>
  </x:si>
  <x:si>
    <x:t xml:space="preserve">Nhập 6 chữ số OTP</x:t>
  </x:si>
  <x:si>
    <x:t xml:space="preserve">Đã gửi OTP</x:t>
  </x:si>
  <x:si>
    <x:t xml:space="preserve">Nhập từng số; dùng Backspace và paste 6 số</x:t>
  </x:si>
  <x:si>
    <x:t xml:space="preserve">Focus tự chuyển hợp lý; chỉ nhận chữ số.</x:t>
  </x:si>
  <x:si>
    <x:t xml:space="preserve">UI-009</x:t>
  </x:si>
  <x:si>
    <x:t xml:space="preserve">Verify OTP và resend</x:t>
  </x:si>
  <x:si>
    <x:t xml:space="preserve">OTP hợp lệ</x:t>
  </x:si>
  <x:si>
    <x:t xml:space="preserve">Verify code; sau đó test Resend Now</x:t>
  </x:si>
  <x:si>
    <x:t xml:space="preserve">OTP đúng chuyển New Password; resend báo thành công và áp dụng cooldown.</x:t>
  </x:si>
  <x:si>
    <x:t xml:space="preserve">UI-010</x:t>
  </x:si>
  <x:si>
    <x:t xml:space="preserve">New Password</x:t>
  </x:si>
  <x:si>
    <x:t xml:space="preserve">Đổi mật khẩu</x:t>
  </x:si>
  <x:si>
    <x:t xml:space="preserve">Nhập password mới và confirm rồi Save &amp; Continue</x:t>
  </x:si>
  <x:si>
    <x:t xml:space="preserve">Đổi mật khẩu thành công và chuyển Login.</x:t>
  </x:si>
  <x:si>
    <x:t xml:space="preserve">UI-011</x:t>
  </x:si>
  <x:si>
    <x:t xml:space="preserve">Shared Header</x:t>
  </x:si>
  <x:si>
    <x:t xml:space="preserve">Header component hiển thị</x:t>
  </x:si>
  <x:si>
    <x:t xml:space="preserve">Component</x:t>
  </x:si>
  <x:si>
    <x:t xml:space="preserve">Mở các trang chính</x:t>
  </x:si>
  <x:si>
    <x:t xml:space="preserve">Kiểm tra logo, 4 nav item và avatar</x:t>
  </x:si>
  <x:si>
    <x:t xml:space="preserve">Mỗi trang chỉ có một header; giao diện nhất quán.</x:t>
  </x:si>
  <x:si>
    <x:t xml:space="preserve">UI-012</x:t>
  </x:si>
  <x:si>
    <x:t xml:space="preserve">Menu active đúng trang</x:t>
  </x:si>
  <x:si>
    <x:t xml:space="preserve">Mở từng route</x:t>
  </x:si>
  <x:si>
    <x:t xml:space="preserve">So sánh màu active ở About, Products, Special Orders, Contact</x:t>
  </x:si>
  <x:si>
    <x:t xml:space="preserve">Chỉ mục hiện tại được active; Product Detail active Products.</x:t>
  </x:si>
  <x:si>
    <x:t xml:space="preserve">UI-013</x:t>
  </x:si>
  <x:si>
    <x:t xml:space="preserve">Avatar lấy từ profile</x:t>
  </x:si>
  <x:si>
    <x:t xml:space="preserve">User đã upload avatar</x:t>
  </x:si>
  <x:si>
    <x:t xml:space="preserve">Đăng nhập và mở các trang có header</x:t>
  </x:si>
  <x:si>
    <x:t xml:space="preserve">Avatar header hiển thị cùng ảnh profile.</x:t>
  </x:si>
  <x:si>
    <x:t xml:space="preserve">UI-014</x:t>
  </x:si>
  <x:si>
    <x:t xml:space="preserve">Menu profile hover không bị mất</x:t>
  </x:si>
  <x:si>
    <x:t xml:space="preserve">Interaction</x:t>
  </x:si>
  <x:si>
    <x:t xml:space="preserve">User đã đăng nhập</x:t>
  </x:si>
  <x:si>
    <x:t xml:space="preserve">Hover avatar rồi di chuột xuống menu</x:t>
  </x:si>
  <x:si>
    <x:t xml:space="preserve">Menu giữ mở đủ để chọn item, có hiệu ứng mượt.</x:t>
  </x:si>
  <x:si>
    <x:t xml:space="preserve">UI-015</x:t>
  </x:si>
  <x:si>
    <x:t xml:space="preserve">Profile và Logout hoạt động</x:t>
  </x:si>
  <x:si>
    <x:t xml:space="preserve">Menu profile đang mở</x:t>
  </x:si>
  <x:si>
    <x:t xml:space="preserve">Nhấn Profile; quay lại rồi nhấn Logout</x:t>
  </x:si>
  <x:si>
    <x:t xml:space="preserve">Profile chuyển /profile; Logout xóa localStorage và chuyển /login.</x:t>
  </x:si>
  <x:si>
    <x:t xml:space="preserve">UI-016</x:t>
  </x:si>
  <x:si>
    <x:t xml:space="preserve">Shared Footer</x:t>
  </x:si>
  <x:si>
    <x:t xml:space="preserve">Footer component nhất quán</x:t>
  </x:si>
  <x:si>
    <x:t xml:space="preserve">Mở các trang có footer</x:t>
  </x:si>
  <x:si>
    <x:t xml:space="preserve">Kiểm tra logo, slogan, địa chỉ, điện thoại</x:t>
  </x:si>
  <x:si>
    <x:t xml:space="preserve">Thông tin và căn lề giống nhau; reset pages dùng variant phù hợp.</x:t>
  </x:si>
  <x:si>
    <x:t xml:space="preserve">UI-017</x:t>
  </x:si>
  <x:si>
    <x:t xml:space="preserve">Home</x:t>
  </x:si>
  <x:si>
    <x:t xml:space="preserve">Điều hướng chính</x:t>
  </x:si>
  <x:si>
    <x:t xml:space="preserve">Mở /home</x:t>
  </x:si>
  <x:si>
    <x:t xml:space="preserve">Nhấn Products, Special Orders, Contact và logo</x:t>
  </x:si>
  <x:si>
    <x:t xml:space="preserve">Đi đúng route tương ứng; logo quay về Home.</x:t>
  </x:si>
  <x:si>
    <x:t xml:space="preserve">UI-018</x:t>
  </x:si>
  <x:si>
    <x:t xml:space="preserve">Feedback carousel</x:t>
  </x:si>
  <x:si>
    <x:t xml:space="preserve">Mở phần feedback</x:t>
  </x:si>
  <x:si>
    <x:t xml:space="preserve">Nhấn mũi tên trái/phải và từng dot</x:t>
  </x:si>
  <x:si>
    <x:t xml:space="preserve">Quote, tên khách và dot active thay đổi đúng; vòng lặp ở đầu/cuối.</x:t>
  </x:si>
  <x:si>
    <x:t xml:space="preserve">UI-019</x:t>
  </x:si>
  <x:si>
    <x:t xml:space="preserve">Responsive không chồng lấn</x:t>
  </x:si>
  <x:si>
    <x:t xml:space="preserve">Responsive</x:t>
  </x:si>
  <x:si>
    <x:t xml:space="preserve">Resize 1440, 1024, 768, 375 px</x:t>
  </x:si>
  <x:si>
    <x:t xml:space="preserve">Header, hero, sản phẩm, feedback và footer không tràn/chồng lấn.</x:t>
  </x:si>
  <x:si>
    <x:t xml:space="preserve">UI-020</x:t>
  </x:si>
  <x:si>
    <x:t xml:space="preserve">Products</x:t>
  </x:si>
  <x:si>
    <x:t xml:space="preserve">Fetch và nhóm sản phẩm theo category</x:t>
  </x:si>
  <x:si>
    <x:t xml:space="preserve">Đăng nhập, API có nhiều category</x:t>
  </x:si>
  <x:si>
    <x:t xml:space="preserve">Mở /products</x:t>
  </x:si>
  <x:si>
    <x:t xml:space="preserve">Hiện đúng số category từ DB và sản phẩm trong đúng nhóm.</x:t>
  </x:si>
  <x:si>
    <x:t xml:space="preserve">UI-021</x:t>
  </x:si>
  <x:si>
    <x:t xml:space="preserve">Ba sản phẩm mỗi hàng</x:t>
  </x:si>
  <x:si>
    <x:t xml:space="preserve">Có &gt;=3 product cùng category</x:t>
  </x:si>
  <x:si>
    <x:t xml:space="preserve">Mở viewport desktop</x:t>
  </x:si>
  <x:si>
    <x:t xml:space="preserve">Hiển thị 3 product trên một hàng, ảnh/giá/nút không lệch.</x:t>
  </x:si>
  <x:si>
    <x:t xml:space="preserve">Desktop &gt;= 1200px</x:t>
  </x:si>
  <x:si>
    <x:t xml:space="preserve">UI-022</x:t>
  </x:si>
  <x:si>
    <x:t xml:space="preserve">Category sidebar điều hướng</x:t>
  </x:si>
  <x:si>
    <x:t xml:space="preserve">Nhấn từng category</x:t>
  </x:si>
  <x:si>
    <x:t xml:space="preserve">Cuộn/đưa người dùng đến đúng section category.</x:t>
  </x:si>
  <x:si>
    <x:t xml:space="preserve">UI-023</x:t>
  </x:si>
  <x:si>
    <x:t xml:space="preserve">Hiển thị nhiều ảnh theo ảnh đầu</x:t>
  </x:si>
  <x:si>
    <x:t xml:space="preserve">Product có images[]</x:t>
  </x:si>
  <x:si>
    <x:t xml:space="preserve">Mở danh sách</x:t>
  </x:si>
  <x:si>
    <x:t xml:space="preserve">Card dùng images[0]; có fallback hợp lệ khi thiếu ảnh.</x:t>
  </x:si>
  <x:si>
    <x:t xml:space="preserve">UI-024</x:t>
  </x:si>
  <x:si>
    <x:t xml:space="preserve">Favorite toggle</x:t>
  </x:si>
  <x:si>
    <x:t xml:space="preserve">User đăng nhập</x:t>
  </x:si>
  <x:si>
    <x:t xml:space="preserve">Nhấn Favorite rồi Saved rồi bỏ favorite</x:t>
  </x:si>
  <x:si>
    <x:t xml:space="preserve">API được gọi đúng; trạng thái nút và profile favorites đồng bộ.</x:t>
  </x:si>
  <x:si>
    <x:t xml:space="preserve">UI-025</x:t>
  </x:si>
  <x:si>
    <x:t xml:space="preserve">View Detail và click ảnh</x:t>
  </x:si>
  <x:si>
    <x:t xml:space="preserve">Nhấn View Detail và nhấn ảnh product</x:t>
  </x:si>
  <x:si>
    <x:t xml:space="preserve">Mở đúng nội dung chi tiết/productId theo hành vi thiết kế.</x:t>
  </x:si>
  <x:si>
    <x:t xml:space="preserve">UI-026</x:t>
  </x:si>
  <x:si>
    <x:t xml:space="preserve">Order Now</x:t>
  </x:si>
  <x:si>
    <x:t xml:space="preserve">Product còn stock</x:t>
  </x:si>
  <x:si>
    <x:t xml:space="preserve">Nhấn Order Now</x:t>
  </x:si>
  <x:si>
    <x:t xml:space="preserve">Tạo order một sản phẩm, hiển thị trạng thái thành công, stock giảm đúng.</x:t>
  </x:si>
  <x:si>
    <x:t xml:space="preserve">UI-027</x:t>
  </x:si>
  <x:si>
    <x:t xml:space="preserve">Xử lý API lỗi/không token</x:t>
  </x:si>
  <x:si>
    <x:t xml:space="preserve">Error Handling</x:t>
  </x:si>
  <x:si>
    <x:t xml:space="preserve">Xóa token hoặc dừng server</x:t>
  </x:si>
  <x:si>
    <x:t xml:space="preserve">Mở trang/nhấn action</x:t>
  </x:si>
  <x:si>
    <x:t xml:space="preserve">Hiển thị thông báo rõ ràng hoặc chuyển login; layout không vỡ.</x:t>
  </x:si>
  <x:si>
    <x:t xml:space="preserve">UI-028</x:t>
  </x:si>
  <x:si>
    <x:t xml:space="preserve">Product Detail</x:t>
  </x:si>
  <x:si>
    <x:t xml:space="preserve">Tải đúng sản phẩm theo query id</x:t>
  </x:si>
  <x:si>
    <x:t xml:space="preserve">URL có id hợp lệ</x:t>
  </x:si>
  <x:si>
    <x:t xml:space="preserve">Mở /product-detail?id=&lt;id&gt;</x:t>
  </x:si>
  <x:si>
    <x:t xml:space="preserve">Hiển thị name, price, description, weight, shelf life và ingredients đúng API.</x:t>
  </x:si>
  <x:si>
    <x:t xml:space="preserve">UI-029</x:t>
  </x:si>
  <x:si>
    <x:t xml:space="preserve">Gallery nhiều ảnh</x:t>
  </x:si>
  <x:si>
    <x:t xml:space="preserve">Product có &gt;=3 images</x:t>
  </x:si>
  <x:si>
    <x:t xml:space="preserve">Nhấn từng thumbnail</x:t>
  </x:si>
  <x:si>
    <x:t xml:space="preserve">Ảnh chính đổi theo thumbnail và không méo hình.</x:t>
  </x:si>
  <x:si>
    <x:t xml:space="preserve">UI-030</x:t>
  </x:si>
  <x:si>
    <x:t xml:space="preserve">Quantity selector</x:t>
  </x:si>
  <x:si>
    <x:t xml:space="preserve">Trang đã tải</x:t>
  </x:si>
  <x:si>
    <x:t xml:space="preserve">Nhấn + nhiều lần và nhấn - tại quantity=1</x:t>
  </x:si>
  <x:si>
    <x:t xml:space="preserve">Quantity tăng/giảm; không thấp hơn 1 và không làm dịch layout.</x:t>
  </x:si>
  <x:si>
    <x:t xml:space="preserve">UI-031</x:t>
  </x:si>
  <x:si>
    <x:t xml:space="preserve">Add To Cart</x:t>
  </x:si>
  <x:si>
    <x:t xml:space="preserve">User đăng nhập, product active</x:t>
  </x:si>
  <x:si>
    <x:t xml:space="preserve">Chọn quantity rồi nhấn Add To Cart</x:t>
  </x:si>
  <x:si>
    <x:t xml:space="preserve">Product được thêm vào /me/cart đúng quantity, không tạo order ngay.</x:t>
  </x:si>
  <x:si>
    <x:t xml:space="preserve">UI-032</x:t>
  </x:si>
  <x:si>
    <x:t xml:space="preserve">Favorite detail</x:t>
  </x:si>
  <x:si>
    <x:t xml:space="preserve">Nhấn Favourites</x:t>
  </x:si>
  <x:si>
    <x:t xml:space="preserve">Thêm/bỏ favorite và đồng bộ UI với server.</x:t>
  </x:si>
  <x:si>
    <x:t xml:space="preserve">UI-033</x:t>
  </x:si>
  <x:si>
    <x:t xml:space="preserve">Related products</x:t>
  </x:si>
  <x:si>
    <x:t xml:space="preserve">API có nhiều product</x:t>
  </x:si>
  <x:si>
    <x:t xml:space="preserve">Mở product detail</x:t>
  </x:si>
  <x:si>
    <x:t xml:space="preserve">Hiện sản phẩm gợi ý khác sản phẩm hiện tại; click đi đúng detail.</x:t>
  </x:si>
  <x:si>
    <x:t xml:space="preserve">UI-034</x:t>
  </x:si>
  <x:si>
    <x:t xml:space="preserve">Tải profile thật từ server</x:t>
  </x:si>
  <x:si>
    <x:t xml:space="preserve">Mở /profile</x:t>
  </x:si>
  <x:si>
    <x:t xml:space="preserve">Hiển thị name, email, phone, address, DOB và avatar từ API.</x:t>
  </x:si>
  <x:si>
    <x:t xml:space="preserve">UI-035</x:t>
  </x:si>
  <x:si>
    <x:t xml:space="preserve">Cập nhật thông tin</x:t>
  </x:si>
  <x:si>
    <x:t xml:space="preserve">Profile đã tải</x:t>
  </x:si>
  <x:si>
    <x:t xml:space="preserve">Sửa tên/phone/address/DOB rồi Save Changes</x:t>
  </x:si>
  <x:si>
    <x:t xml:space="preserve">Hiển thị thông báo thành công; reload vẫn giữ dữ liệu mới.</x:t>
  </x:si>
  <x:si>
    <x:t xml:space="preserve">UI-036</x:t>
  </x:si>
  <x:si>
    <x:t xml:space="preserve">Cancel hoàn tác form</x:t>
  </x:si>
  <x:si>
    <x:t xml:space="preserve">Đã sửa nhưng chưa save</x:t>
  </x:si>
  <x:si>
    <x:t xml:space="preserve">Nhấn Cancel</x:t>
  </x:si>
  <x:si>
    <x:t xml:space="preserve">Form trở về dữ liệu đã tải từ server.</x:t>
  </x:si>
  <x:si>
    <x:t xml:space="preserve">UI-037</x:t>
  </x:si>
  <x:si>
    <x:t xml:space="preserve">Upload avatar bằng click</x:t>
  </x:si>
  <x:si>
    <x:t xml:space="preserve">Click avatar, chọn ảnh hợp lệ</x:t>
  </x:si>
  <x:si>
    <x:t xml:space="preserve">Avatar profile và avatar header cùng cập nhật.</x:t>
  </x:si>
  <x:si>
    <x:t xml:space="preserve">UI-038</x:t>
  </x:si>
  <x:si>
    <x:t xml:space="preserve">Recent Orders từ DB</x:t>
  </x:si>
  <x:si>
    <x:t xml:space="preserve">User có orders</x:t>
  </x:si>
  <x:si>
    <x:t xml:space="preserve">Mở profile</x:t>
  </x:si>
  <x:si>
    <x:t xml:space="preserve">Hiện tối đa 3 đơn mới nhất với tên, ngày, status, total đúng.</x:t>
  </x:si>
  <x:si>
    <x:t xml:space="preserve">UI-039</x:t>
  </x:si>
  <x:si>
    <x:t xml:space="preserve">Favorites từ DB và có thể click</x:t>
  </x:si>
  <x:si>
    <x:t xml:space="preserve">Mở profile và nhấn từng favorite item</x:t>
  </x:si>
  <x:si>
    <x:t xml:space="preserve">Hiển thị dữ liệu thật; click mở đúng chi tiết sản phẩm.</x:t>
  </x:si>
  <x:si>
    <x:t xml:space="preserve">UI-040</x:t>
  </x:si>
  <x:si>
    <x:t xml:space="preserve">Submit pickup</x:t>
  </x:si>
  <x:si>
    <x:t xml:space="preserve">Server và SMTP hoạt động</x:t>
  </x:si>
  <x:si>
    <x:t xml:space="preserve">Chọn Store Pickup, nhập thông tin và Submit</x:t>
  </x:si>
  <x:si>
    <x:t xml:space="preserve">Không bắt địa chỉ; hiển thị requestNumber và reset form.</x:t>
  </x:si>
  <x:si>
    <x:t xml:space="preserve">UI-041</x:t>
  </x:si>
  <x:si>
    <x:t xml:space="preserve">Validate delivery address</x:t>
  </x:si>
  <x:si>
    <x:t xml:space="preserve">Chọn Local Delivery/Shipping</x:t>
  </x:si>
  <x:si>
    <x:t xml:space="preserve">Bỏ trống address/city/zip rồi Submit</x:t>
  </x:si>
  <x:si>
    <x:t xml:space="preserve">Browser không gửi request và chỉ rõ trường bắt buộc.</x:t>
  </x:si>
  <x:si>
    <x:t xml:space="preserve">UI-042</x:t>
  </x:si>
  <x:si>
    <x:t xml:space="preserve">Submit loading và API error</x:t>
  </x:si>
  <x:si>
    <x:t xml:space="preserve">Form hợp lệ</x:t>
  </x:si>
  <x:si>
    <x:t xml:space="preserve">Submit khi server chậm; lặp lại khi server lỗi</x:t>
  </x:si>
  <x:si>
    <x:t xml:space="preserve">Nút disabled/Sending... chống gửi lặp; lỗi hiển thị rõ và dữ liệu chưa bị reset.</x:t>
  </x:si>
  <x:si>
    <x:t xml:space="preserve">UI-043</x:t>
  </x:si>
  <x:si>
    <x:t xml:space="preserve">Bản ghi xuất hiện cho admin</x:t>
  </x:si>
  <x:si>
    <x:t xml:space="preserve">Integration</x:t>
  </x:si>
  <x:si>
    <x:t xml:space="preserve">Submit thành công</x:t>
  </x:si>
  <x:si>
    <x:t xml:space="preserve">Dùng token admin gọi danh sách</x:t>
  </x:si>
  <x:si>
    <x:t xml:space="preserve">Request xuất hiện status Pending và email user/admin được gửi.</x:t>
  </x:si>
  <x:si>
    <x:t xml:space="preserve">API + UI</x:t>
  </x:si>
  <x:si>
    <x:t xml:space="preserve">UI-044</x:t>
  </x:si>
  <x:si>
    <x:t xml:space="preserve">Submit contact hợp lệ</x:t>
  </x:si>
  <x:si>
    <x:t xml:space="preserve">Nhập name/email/message rồi Submit</x:t>
  </x:si>
  <x:si>
    <x:t xml:space="preserve">Hiển thị ticketNumber, reset form và user nhận email đang chờ xử lý.</x:t>
  </x:si>
  <x:si>
    <x:t xml:space="preserve">UI-045</x:t>
  </x:si>
  <x:si>
    <x:t xml:space="preserve">Validate email/message</x:t>
  </x:si>
  <x:si>
    <x:t xml:space="preserve">Mở /contact</x:t>
  </x:si>
  <x:si>
    <x:t xml:space="preserve">Nhập email sai hoặc để message trống</x:t>
  </x:si>
  <x:si>
    <x:t xml:space="preserve">Không gửi API; browser hiển thị validation phù hợp.</x:t>
  </x:si>
  <x:si>
    <x:t xml:space="preserve">UI-046</x:t>
  </x:si>
  <x:si>
    <x:t xml:space="preserve">Dùng token admin gọi GET /api/contact</x:t>
  </x:si>
  <x:si>
    <x:t xml:space="preserve">Ticket xuất hiện status New; admin nhận email thông báo.</x:t>
  </x:si>
  <x:si>
    <x:t xml:space="preserve">UI-047</x:t>
  </x:si>
  <x:si>
    <x:t xml:space="preserve">Chống double submit</x:t>
  </x:si>
  <x:si>
    <x:t xml:space="preserve">Double click Submit nhanh</x:t>
  </x:si>
  <x:si>
    <x:t xml:space="preserve">Nút bị disabled trong lúc gửi; chỉ tạo một ticket.</x:t>
  </x:si>
  <x:si>
    <x:t xml:space="preserve">UI-048</x:t>
  </x:si>
  <x:si>
    <x:t xml:space="preserve">Header mobile</x:t>
  </x:si>
  <x:si>
    <x:t xml:space="preserve">Mở trang chính ở 375px</x:t>
  </x:si>
  <x:si>
    <x:t xml:space="preserve">Kiểm tra nav/logo/avatar và menu profile</x:t>
  </x:si>
  <x:si>
    <x:t xml:space="preserve">Không tràn ngang hoặc che nội dung; mục điều hướng vẫn sử dụng được.</x:t>
  </x:si>
  <x:si>
    <x:t xml:space="preserve">375x812</x:t>
  </x:si>
  <x:si>
    <x:t xml:space="preserve">UI-049</x:t>
  </x:si>
  <x:si>
    <x:t xml:space="preserve">Form mobile</x:t>
  </x:si>
  <x:si>
    <x:t xml:space="preserve">Mở Special Order/Contact ở 375px</x:t>
  </x:si>
  <x:si>
    <x:t xml:space="preserve">Cuộn và nhập mọi field</x:t>
  </x:si>
  <x:si>
    <x:t xml:space="preserve">Hai cột địa chỉ chuyển một cột; text/nút không bị cắt.</x:t>
  </x:si>
  <x:si>
    <x:t xml:space="preserve">UI-050</x:t>
  </x:si>
  <x:si>
    <x:t xml:space="preserve">Accessibility</x:t>
  </x:si>
  <x:si>
    <x:t xml:space="preserve">Điều hướng bàn phím cơ bản</x:t>
  </x:si>
  <x:si>
    <x:t xml:space="preserve">Dùng Tab, Shift+Tab, Enter, Space</x:t>
  </x:si>
  <x:si>
    <x:t xml:space="preserve">Focus đi theo thứ tự hợp lý; link/button/form sử dụng được bằng bàn phím.</x:t>
  </x:si>
  <x:si>
    <x:t xml:space="preserve">UI-051</x:t>
  </x:si>
  <x:si>
    <x:t xml:space="preserve">Tên truy cập và tương phản</x:t>
  </x:si>
  <x:si>
    <x:t xml:space="preserve">Mở các trang</x:t>
  </x:si>
  <x:si>
    <x:t xml:space="preserve">Kiểm tra alt/aria-label và màu chữ/nút</x:t>
  </x:si>
  <x:si>
    <x:t xml:space="preserve">Logo, avatar, mũi tên, form control có tên truy cập; chữ chính dễ đọc.</x:t>
  </x:si>
  <x:si>
    <x:t xml:space="preserve">UI-052</x:t>
  </x:si>
  <x:si>
    <x:t xml:space="preserve">Trang bảo vệ khi token mất/hết hạn</x:t>
  </x:si>
  <x:si>
    <x:t xml:space="preserve">Token bị xóa hoặc hết hạn</x:t>
  </x:si>
  <x:si>
    <x:t xml:space="preserve">Mở Products/Profile và thực hiện action</x:t>
  </x:si>
  <x:si>
    <x:t xml:space="preserve">Không hiển thị dữ liệu riêng tư; chuyển login hoặc báo cần đăng nhập.</x:t>
  </x:si>
</x:sst>
</file>

<file path=xl/styles.xml><?xml version="1.0" encoding="utf-8"?>
<x:styleSheet xmlns:x="http://schemas.openxmlformats.org/spreadsheetml/2006/main">
  <x:numFmts count="2">
    <x:numFmt numFmtId="164" formatCode="yyyy\-mm\-dd"/>
    <x:numFmt numFmtId="165" formatCode="0.0%"/>
  </x:numFmts>
  <x:fonts count="7">
    <x:font>
      <x:sz val="11"/>
      <x:name val="Carlito"/>
    </x:font>
    <x:font>
      <x:b/>
      <x:sz val="16"/>
      <x:color rgb="FFD94960"/>
      <x:name val="Arial"/>
    </x:font>
    <x:font>
      <x:i/>
      <x:sz val="10"/>
      <x:color rgb="FF5D626A"/>
      <x:name val="Arial"/>
    </x:font>
    <x:font>
      <x:sz val="10"/>
      <x:color rgb="FF2F272B"/>
      <x:name val="Arial"/>
    </x:font>
    <x:font>
      <x:b/>
      <x:sz val="10"/>
      <x:color rgb="FFFFFFFF"/>
      <x:name val="Arial"/>
    </x:font>
    <x:font>
      <x:b/>
      <x:sz val="10"/>
      <x:color rgb="FFD94960"/>
      <x:name val="Arial"/>
    </x:font>
    <x:font>
      <x:b/>
      <x:sz val="11"/>
      <x:color rgb="FFD9496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4960"/>
      </x:patternFill>
    </x:fill>
    <x:fill>
      <x:patternFill patternType="solid">
        <x:fgColor rgb="FF713240"/>
      </x:patternFill>
    </x:fill>
    <x:fill>
      <x:patternFill patternType="solid">
        <x:fgColor rgb="FFFCE8EC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thin">
        <x:color rgb="FFE7C6CD"/>
      </x:bottom>
      <x:diagonal/>
    </x:border>
    <x:border>
      <x:left/>
      <x:right/>
      <x:top style="thin">
        <x:color rgb="FFF1E1E5"/>
      </x:top>
      <x:bottom style="thin">
        <x:color rgb="FFF1E1E5"/>
      </x:bottom>
      <x:diagonal/>
    </x:border>
    <x:border>
      <x:left/>
      <x:right/>
      <x:top style="thin">
        <x:color rgb="FFF1E1E5"/>
      </x:top>
      <x:bottom style="thin">
        <x:color rgb="FFE7C6CD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/>
      <x:bottom style="thin">
        <x:color rgb="FFEADDE0"/>
      </x:bottom>
      <x:diagonal/>
    </x:border>
    <x:border>
      <x:left/>
      <x:right/>
      <x:top style="thin">
        <x:color rgb="FFEADDE0"/>
      </x:top>
      <x:bottom style="thin">
        <x:color rgb="FFEADDE0"/>
      </x:bottom>
      <x:diagonal/>
    </x:border>
    <x:border>
      <x:left/>
      <x:right/>
      <x:top style="thin">
        <x:color rgb="FFEADDE0"/>
      </x:top>
      <x:bottom style="thin">
        <x:color rgb="FFE7C6CD"/>
      </x:bottom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Font="1"/>
    <x:xf numFmtId="0" fontId="0" fillId="0" borderId="1" xfId="0" applyBorder="1"/>
    <x:xf numFmtId="0" fontId="2" fillId="0" borderId="1" xfId="0" applyFont="1" applyBorder="1"/>
    <x:xf numFmtId="0" fontId="3" fillId="0" borderId="2" xfId="0" applyFont="1" applyBorder="1" applyAlignment="1">
      <x:alignment vertical="top" wrapText="1"/>
    </x:xf>
    <x:xf numFmtId="0" fontId="3" fillId="0" borderId="3" xfId="0" applyFont="1" applyBorder="1" applyAlignment="1">
      <x:alignment vertical="top" wrapText="1"/>
    </x:xf>
    <x:xf numFmtId="0" fontId="4" fillId="2" borderId="4" xfId="0" applyFont="1" applyFill="1" applyBorder="1" applyAlignment="1">
      <x:alignment horizontal="center" vertical="center" wrapText="1"/>
    </x:xf>
    <x:xf numFmtId="0" fontId="5" fillId="0" borderId="2" xfId="0" applyFont="1" applyBorder="1" applyAlignment="1">
      <x:alignment vertical="top" wrapText="1"/>
    </x:xf>
    <x:xf numFmtId="0" fontId="5" fillId="0" borderId="3" xfId="0" applyFont="1" applyBorder="1" applyAlignment="1">
      <x:alignment vertical="top" wrapText="1"/>
    </x:xf>
    <x:xf numFmtId="164" fontId="3" fillId="0" borderId="2" xfId="0" applyNumberFormat="1" applyFont="1" applyBorder="1" applyAlignment="1">
      <x:alignment vertical="top" wrapText="1"/>
    </x:xf>
    <x:xf numFmtId="164" fontId="3" fillId="0" borderId="3" xfId="0" applyNumberFormat="1" applyFont="1" applyBorder="1" applyAlignment="1">
      <x:alignment vertical="top" wrapText="1"/>
    </x:xf>
    <x:xf numFmtId="0" fontId="3" fillId="0" borderId="2" xfId="0" applyFont="1" applyBorder="1" applyAlignment="1">
      <x:alignment horizontal="center" vertical="top" wrapText="1"/>
    </x:xf>
    <x:xf numFmtId="0" fontId="3" fillId="0" borderId="3" xfId="0" applyFont="1" applyBorder="1" applyAlignment="1">
      <x:alignment horizontal="center" vertical="top" wrapText="1"/>
    </x:xf>
    <x:xf numFmtId="0" fontId="2" fillId="0" borderId="0" xfId="0" applyFont="1"/>
    <x:xf numFmtId="0" fontId="4" fillId="2" borderId="4" xfId="0" applyFont="1" applyFill="1" applyBorder="1" applyAlignment="1">
      <x:alignment horizontal="center" vertical="center"/>
    </x:xf>
    <x:xf numFmtId="0" fontId="3" fillId="0" borderId="5" xfId="0" applyFont="1" applyBorder="1"/>
    <x:xf numFmtId="0" fontId="3" fillId="0" borderId="6" xfId="0" applyFont="1" applyBorder="1"/>
    <x:xf numFmtId="0" fontId="3" fillId="0" borderId="7" xfId="0" applyFont="1" applyBorder="1"/>
    <x:xf numFmtId="3" fontId="3" fillId="0" borderId="6" xfId="0" applyNumberFormat="1" applyFont="1" applyBorder="1"/>
    <x:xf numFmtId="165" fontId="3" fillId="0" borderId="7" xfId="0" applyNumberFormat="1" applyFont="1" applyBorder="1"/>
    <x:xf numFmtId="0" fontId="4" fillId="3" borderId="4" xfId="0" applyFont="1" applyFill="1" applyBorder="1" applyAlignment="1">
      <x:alignment horizontal="center" vertical="center"/>
    </x:xf>
    <x:xf numFmtId="0" fontId="6" fillId="4" borderId="1" xfId="0" applyFont="1" applyFill="1" applyBorder="1"/>
    <x:xf numFmtId="0" fontId="3" fillId="0" borderId="0" xfId="0" applyFont="1" applyAlignment="1">
      <x:alignment wrapText="1"/>
    </x:xf>
    <x:xf numFmtId="3" fontId="0" fillId="0" borderId="6" xfId="0" applyNumberFormat="1" applyBorder="1"/>
    <x:xf numFmtId="0" fontId="0" fillId="0" borderId="7" xfId="0" applyBorder="1"/>
    <x:xf numFmtId="0" fontId="0" fillId="0" borderId="6" xfId="0" applyBorder="1"/>
    <x:xf numFmtId="0" fontId="0" fillId="0" borderId="5" xfId="0" applyBorder="1"/>
    <x:xf numFmtId="3" fontId="0" fillId="0" borderId="5" xfId="0" applyNumberFormat="1" applyBorder="1"/>
    <x:xf numFmtId="0" fontId="5" fillId="0" borderId="2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horizontal="center" vertical="top" wrapText="1"/>
    </x:xf>
    <x:xf numFmtId="164" fontId="3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horizontal="center" vertical="top" wrapText="1"/>
    </x:xf>
    <x:xf numFmtId="164" fontId="3" fillId="0" borderId="3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1">
    <x:dxf>
      <x:font>
        <x:b/>
        <x:color rgb="FF8A5A00"/>
      </x:font>
      <x:fill>
        <x:patternFill>
          <x:bgColor rgb="FFFFF0CC"/>
        </x:patternFill>
      </x:fill>
    </x:dxf>
    <x:dxf>
      <x:font>
        <x:b/>
        <x:color rgb="FFB4233C"/>
      </x:font>
      <x:fill>
        <x:patternFill>
          <x:bgColor rgb="FFFDE2E5"/>
        </x:patternFill>
      </x:fill>
    </x:dxf>
    <x:dxf>
      <x:font>
        <x:color rgb="FF5D626A"/>
      </x:font>
      <x:fill>
        <x:patternFill>
          <x:bgColor rgb="FFF3F4F6"/>
        </x:patternFill>
      </x:fill>
    </x:dxf>
    <x:dxf>
      <x:font>
        <x:b/>
        <x:color rgb="FF1E5FA8"/>
      </x:font>
      <x:fill>
        <x:patternFill>
          <x:bgColor rgb="FFE3F0FF"/>
        </x:patternFill>
      </x:fill>
    </x:dxf>
    <x:dxf>
      <x:font>
        <x:b/>
        <x:color rgb="FF8A5A00"/>
      </x:font>
      <x:fill>
        <x:patternFill>
          <x:bgColor rgb="FFFFF0CC"/>
        </x:patternFill>
      </x:fill>
    </x:dxf>
    <x:dxf>
      <x:font>
        <x:b/>
        <x:color rgb="FFB4233C"/>
      </x:font>
      <x:fill>
        <x:patternFill>
          <x:bgColor rgb="FFFDE2E5"/>
        </x:patternFill>
      </x:fill>
    </x:dxf>
    <x:dxf>
      <x:font>
        <x:b/>
        <x:color rgb="FF247A43"/>
      </x:font>
      <x:fill>
        <x:patternFill>
          <x:bgColor rgb="FFDDF3E4"/>
        </x:patternFill>
      </x:fill>
    </x:dxf>
    <x:dxf>
      <x:font>
        <x:b/>
        <x:color rgb="FF8A5A00"/>
      </x:font>
      <x:fill>
        <x:patternFill>
          <x:bgColor rgb="FFFFF0CC"/>
        </x:patternFill>
      </x:fill>
    </x:dxf>
    <x:dxf>
      <x:font>
        <x:b/>
        <x:color rgb="FFB4233C"/>
      </x:font>
      <x:fill>
        <x:patternFill>
          <x:bgColor rgb="FFFDE2E5"/>
        </x:patternFill>
      </x:fill>
    </x:dxf>
    <x:dxf>
      <x:font>
        <x:color rgb="FF5D626A"/>
      </x:font>
      <x:fill>
        <x:patternFill>
          <x:bgColor rgb="FFF3F4F6"/>
        </x:patternFill>
      </x:fill>
    </x:dxf>
    <x:dxf>
      <x:font>
        <x:b/>
        <x:color rgb="FF1E5FA8"/>
      </x:font>
      <x:fill>
        <x:patternFill>
          <x:bgColor rgb="FFE3F0FF"/>
        </x:patternFill>
      </x:fill>
    </x:dxf>
    <x:dxf>
      <x:font>
        <x:b/>
        <x:color rgb="FF8A5A00"/>
      </x:font>
      <x:fill>
        <x:patternFill>
          <x:bgColor rgb="FFFFF0CC"/>
        </x:patternFill>
      </x:fill>
    </x:dxf>
    <x:dxf>
      <x:font>
        <x:b/>
        <x:color rgb="FFB4233C"/>
      </x:font>
      <x:fill>
        <x:patternFill>
          <x:bgColor rgb="FFFDE2E5"/>
        </x:patternFill>
      </x:fill>
    </x:dxf>
    <x:dxf>
      <x:font>
        <x:b/>
        <x:color rgb="FF247A43"/>
      </x:font>
      <x:fill>
        <x:patternFill>
          <x:bgColor rgb="FFDDF3E4"/>
        </x:patternFill>
      </x:fill>
    </x:dxf>
    <x:dxf>
      <x:font>
        <x:b/>
        <x:color rgb="FF8A5A00"/>
      </x:font>
      <x:fill>
        <x:patternFill>
          <x:bgColor rgb="FFFFF0CC"/>
        </x:patternFill>
      </x:fill>
    </x:dxf>
    <x:dxf>
      <x:font>
        <x:b/>
        <x:color rgb="FFB4233C"/>
      </x:font>
      <x:fill>
        <x:patternFill>
          <x:bgColor rgb="FFFDE2E5"/>
        </x:patternFill>
      </x:fill>
    </x:dxf>
    <x:dxf>
      <x:font>
        <x:b/>
        <x:color rgb="FF247A43"/>
      </x:font>
      <x:fill>
        <x:patternFill>
          <x:bgColor rgb="FFDDF3E4"/>
        </x:patternFill>
      </x:fill>
    </x:dxf>
    <x:dxf>
      <x:font>
        <x:b/>
        <x:color rgb="FF247A43"/>
      </x:font>
      <x:fill>
        <x:patternFill patternType="solid">
          <x:bgColor rgb="FFDDF3E4"/>
        </x:patternFill>
      </x:fill>
    </x:dxf>
    <x:dxf>
      <x:font>
        <x:b/>
        <x:color rgb="FFB4233C"/>
      </x:font>
      <x:fill>
        <x:patternFill patternType="solid">
          <x:bgColor rgb="FFFDE2E5"/>
        </x:patternFill>
      </x:fill>
    </x:dxf>
    <x:dxf>
      <x:font>
        <x:b/>
        <x:color rgb="FF8A5A00"/>
      </x:font>
      <x:fill>
        <x:patternFill patternType="solid">
          <x:bgColor rgb="FFFFF0CC"/>
        </x:patternFill>
      </x:fill>
    </x:dxf>
    <x:dxf>
      <x:font>
        <x:b/>
        <x:color rgb="FF1E5FA8"/>
      </x:font>
      <x:fill>
        <x:patternFill patternType="solid">
          <x:bgColor rgb="FFE3F0FF"/>
        </x:patternFill>
      </x:fill>
    </x:dxf>
    <x:dxf>
      <x:font>
        <x:color rgb="FF5D626A"/>
      </x:font>
      <x:fill>
        <x:patternFill patternType="solid">
          <x:bgColor rgb="FFF3F4F6"/>
        </x:patternFill>
      </x:fill>
    </x:dxf>
    <x:dxf>
      <x:font>
        <x:b/>
        <x:color rgb="FFB4233C"/>
      </x:font>
      <x:fill>
        <x:patternFill patternType="solid">
          <x:bgColor rgb="FFFDE2E5"/>
        </x:patternFill>
      </x:fill>
    </x:dxf>
    <x:dxf>
      <x:font>
        <x:b/>
        <x:color rgb="FF8A5A00"/>
      </x:font>
      <x:fill>
        <x:patternFill patternType="solid">
          <x:bgColor rgb="FFFFF0CC"/>
        </x:patternFill>
      </x:fill>
    </x:dxf>
    <x:dxf>
      <x:font>
        <x:b/>
        <x:color rgb="FF247A43"/>
      </x:font>
      <x:fill>
        <x:patternFill patternType="solid">
          <x:bgColor rgb="FFDDF3E4"/>
        </x:patternFill>
      </x:fill>
    </x:dxf>
    <x:dxf>
      <x:font>
        <x:b/>
        <x:color rgb="FFB4233C"/>
      </x:font>
      <x:fill>
        <x:patternFill patternType="solid">
          <x:bgColor rgb="FFFDE2E5"/>
        </x:patternFill>
      </x:fill>
    </x:dxf>
    <x:dxf>
      <x:font>
        <x:b/>
        <x:color rgb="FF8A5A00"/>
      </x:font>
      <x:fill>
        <x:patternFill patternType="solid">
          <x:bgColor rgb="FFFFF0CC"/>
        </x:patternFill>
      </x:fill>
    </x:dxf>
    <x:dxf>
      <x:font>
        <x:b/>
        <x:color rgb="FF1E5FA8"/>
      </x:font>
      <x:fill>
        <x:patternFill patternType="solid">
          <x:bgColor rgb="FFE3F0FF"/>
        </x:patternFill>
      </x:fill>
    </x:dxf>
    <x:dxf>
      <x:font>
        <x:color rgb="FF5D626A"/>
      </x:font>
      <x:fill>
        <x:patternFill patternType="solid">
          <x:bgColor rgb="FFF3F4F6"/>
        </x:patternFill>
      </x:fill>
    </x:dxf>
    <x:dxf>
      <x:font>
        <x:b/>
        <x:color rgb="FFB4233C"/>
      </x:font>
      <x:fill>
        <x:patternFill patternType="solid">
          <x:bgColor rgb="FFFDE2E5"/>
        </x:patternFill>
      </x:fill>
    </x:dxf>
    <x:dxf>
      <x:font>
        <x:b/>
        <x:color rgb="FF8A5A00"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79acb97a704b2f" /><Relationship Type="http://schemas.openxmlformats.org/officeDocument/2006/relationships/theme" Target="/xl/theme/theme1.xml" Id="Ra48ddb61724e46c2" /><Relationship Type="http://schemas.openxmlformats.org/officeDocument/2006/relationships/sharedStrings" Target="/xl/sharedStrings.xml" Id="R02bb876af5324d7c" /><Relationship Type="http://schemas.openxmlformats.org/officeDocument/2006/relationships/worksheet" Target="/xl/worksheets/sheet1.xml" Id="Ra10519b7789e4202" /><Relationship Type="http://schemas.openxmlformats.org/officeDocument/2006/relationships/worksheet" Target="/xl/worksheets/sheet2.xml" Id="R52ef69891f0e4ec0" /><Relationship Type="http://schemas.openxmlformats.org/officeDocument/2006/relationships/worksheet" Target="/xl/worksheets/sheet3.xml" Id="R0c11f3f60a824515" /></Relationships>
</file>

<file path=xl/tables/table1.xml><?xml version="1.0" encoding="utf-8"?>
<x:table xmlns:x="http://schemas.openxmlformats.org/spreadsheetml/2006/main" id="1" name="ApiTestCasesTable" displayName="ApiTestCasesTable" ref="A5:Q274" headerRowCount="1" totalsRowCount="0" totalsRowShown="0">
  <x:autoFilter ref="A5:Q274"/>
  <x:tableColumns count="17">
    <x:tableColumn id="1" name="Test Case ID"/>
    <x:tableColumn id="2" name="Module"/>
    <x:tableColumn id="3" name="Chức năng / Kịch bản"/>
    <x:tableColumn id="4" name="Method"/>
    <x:tableColumn id="5" name="Endpoint"/>
    <x:tableColumn id="6" name="Loại test"/>
    <x:tableColumn id="7" name="Ưu tiên"/>
    <x:tableColumn id="8" name="Điều kiện trước"/>
    <x:tableColumn id="9" name="Dữ liệu test"/>
    <x:tableColumn id="10" name="Các bước thực hiện"/>
    <x:tableColumn id="11" name="HTTP mong đợi"/>
    <x:tableColumn id="12" name="Kết quả mong đợi"/>
    <x:tableColumn id="13" name="Trạng thái"/>
    <x:tableColumn id="14" name="Kết quả thực tế"/>
    <x:tableColumn id="15" name="Người test"/>
    <x:tableColumn id="16" name="Ngày test"/>
    <x:tableColumn id="17" name="Ghi ch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iTestCasesTable" displayName="UiTestCasesTable" ref="A5:N156" headerRowCount="1" totalsRowCount="0" totalsRowShown="0">
  <x:autoFilter ref="A5:N156"/>
  <x:tableColumns count="14">
    <x:tableColumn id="1" name="Test Case ID"/>
    <x:tableColumn id="2" name="Màn hình"/>
    <x:tableColumn id="3" name="Chức năng / Kịch bản"/>
    <x:tableColumn id="4" name="Loại test"/>
    <x:tableColumn id="5" name="Ưu tiên"/>
    <x:tableColumn id="6" name="Điều kiện trước"/>
    <x:tableColumn id="7" name="Các bước thực hiện"/>
    <x:tableColumn id="8" name="Kết quả mong đợi"/>
    <x:tableColumn id="9" name="Browser / Viewport"/>
    <x:tableColumn id="10" name="Trạng thái"/>
    <x:tableColumn id="11" name="Kết quả thực tế"/>
    <x:tableColumn id="12" name="Người test"/>
    <x:tableColumn id="13" name="Ngày test"/>
    <x:tableColumn id="14" name="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ec302208cf43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74f4e03a284246" /></Relationships>
</file>

<file path=xl/worksheets/sheet1.xml><?xml version="1.0" encoding="utf-8"?>
<x:worksheet xmlns:x="http://schemas.openxmlformats.org/spreadsheetml/2006/main">
  <x:sheetPr>
    <x:tabColor rgb="FFD94960"/>
  </x:sheetPr>
  <x:sheetViews>
    <x:sheetView showGridLines="0" workbookViewId="0"/>
  </x:sheetViews>
  <x:sheetFormatPr defaultRowHeight="14.25"/>
  <x:cols>
    <x:col min="1" max="1" width="42" customWidth="1"/>
    <x:col min="2" max="2" width="15" customWidth="1"/>
    <x:col min="3" max="3" width="4" customWidth="1"/>
    <x:col min="4" max="4" width="18" customWidth="1"/>
    <x:col min="5" max="6" width="12" customWidth="1"/>
  </x:cols>
  <x:sheetData>
    <x:row r="2" ht="20.25">
      <x:c r="A2" s="1" t="s">
        <x:v>0</x:v>
      </x:c>
    </x:row>
    <x:row r="3">
      <x:c r="A3" s="13" t="str">
        <x:v>Phạm vi kiểm thử chức năng và API của project. Nguồn: SugarBliss codebase, cập nhật ngày 2026-10-23.</x:v>
      </x:c>
    </x:row>
    <x:row r="4">
      <x:c r="A4" s="2"/>
      <x:c r="B4" s="2"/>
      <x:c r="C4" s="2"/>
      <x:c r="D4" s="2"/>
      <x:c r="E4" s="2"/>
      <x:c r="F4" s="2"/>
    </x:row>
    <x:row r="6">
      <x:c r="A6" s="14" t="s">
        <x:v>1</x:v>
      </x:c>
      <x:c r="B6" s="14" t="s">
        <x:v>2</x:v>
      </x:c>
      <x:c r="D6" s="20" t="s">
        <x:v>3</x:v>
      </x:c>
      <x:c r="E6" s="20" t="s">
        <x:v>4</x:v>
      </x:c>
      <x:c r="F6" s="20" t="s">
        <x:v>5</x:v>
      </x:c>
    </x:row>
    <x:row r="7">
      <x:c r="A7" s="15" t="s">
        <x:v>6</x:v>
      </x:c>
      <x:c r="B7" s="27" t="n">
        <x:f>COUNTA('API Test Cases'!$A$6:$A$274)</x:f>
        <x:v>269</x:v>
      </x:c>
      <x:c r="D7" s="15" t="s">
        <x:v>7</x:v>
      </x:c>
      <x:c r="E7" s="26" t="n">
        <x:f>COUNTIF('API Test Cases'!$G$6:$G$274,D7)</x:f>
        <x:v>95</x:v>
      </x:c>
      <x:c r="F7" s="15" t="n">
        <x:f>COUNTIF('UI Test Cases'!$E$6:$E$156,D7)</x:f>
        <x:v>37</x:v>
      </x:c>
    </x:row>
    <x:row r="8">
      <x:c r="A8" s="16" t="s">
        <x:v>8</x:v>
      </x:c>
      <x:c r="B8" s="18" t="n">
        <x:f>COUNTA('UI Test Cases'!$A$6:$A$156)</x:f>
        <x:v>151</x:v>
      </x:c>
      <x:c r="D8" s="16" t="s">
        <x:v>9</x:v>
      </x:c>
      <x:c r="E8" s="25" t="n">
        <x:f>COUNTIF('API Test Cases'!$G$6:$G$274,D8)</x:f>
        <x:v>146</x:v>
      </x:c>
      <x:c r="F8" s="16" t="n">
        <x:f>COUNTIF('UI Test Cases'!$E$6:$E$156,D8)</x:f>
        <x:v>88</x:v>
      </x:c>
    </x:row>
    <x:row r="9">
      <x:c r="A9" s="16" t="s">
        <x:v>10</x:v>
      </x:c>
      <x:c r="B9" s="18" t="n">
        <x:f>SUM(B7:B8)</x:f>
        <x:v>420</x:v>
      </x:c>
      <x:c r="D9" s="16" t="s">
        <x:v>11</x:v>
      </x:c>
      <x:c r="E9" s="25" t="n">
        <x:f>COUNTIF('API Test Cases'!$G$6:$G$274,D9)</x:f>
        <x:v>27</x:v>
      </x:c>
      <x:c r="F9" s="16" t="n">
        <x:f>COUNTIF('UI Test Cases'!$E$6:$E$156,D9)</x:f>
        <x:v>26</x:v>
      </x:c>
    </x:row>
    <x:row r="10">
      <x:c r="A10" s="16" t="s">
        <x:v>12</x:v>
      </x:c>
      <x:c r="B10" s="23" t="n">
        <x:f>COUNTIF('API Test Cases'!$M$6:$M$274,"Passed")+COUNTIF('UI Test Cases'!$J$6:$J$156,"Passed")</x:f>
        <x:v>136</x:v>
      </x:c>
      <x:c r="D10" s="17" t="s">
        <x:v>13</x:v>
      </x:c>
      <x:c r="E10" s="24" t="n">
        <x:f>COUNTIF('API Test Cases'!$G$6:$G$274,D10)</x:f>
        <x:v>1</x:v>
      </x:c>
      <x:c r="F10" s="17" t="n">
        <x:f>COUNTIF('UI Test Cases'!$E$6:$E$156,D10)</x:f>
        <x:v>0</x:v>
      </x:c>
    </x:row>
    <x:row r="11">
      <x:c r="A11" s="16" t="s">
        <x:v>14</x:v>
      </x:c>
      <x:c r="B11" s="23" t="n">
        <x:f>COUNTIF('API Test Cases'!$M$6:$M$274,"Failed")+COUNTIF('UI Test Cases'!$J$6:$J$156,"Failed")</x:f>
        <x:v>0</x:v>
      </x:c>
    </x:row>
    <x:row r="12">
      <x:c r="A12" s="16" t="s">
        <x:v>15</x:v>
      </x:c>
      <x:c r="B12" s="23" t="n">
        <x:f>COUNTIF('API Test Cases'!$M$6:$M$274,"Blocked")+COUNTIF('UI Test Cases'!$J$6:$J$156,"Blocked")</x:f>
        <x:v>0</x:v>
      </x:c>
    </x:row>
    <x:row r="13">
      <x:c r="A13" s="16" t="s">
        <x:v>16</x:v>
      </x:c>
      <x:c r="B13" s="23" t="n">
        <x:f>COUNTIF('API Test Cases'!$M$6:$M$274,"In Progress")+COUNTIF('UI Test Cases'!$J$6:$J$156,"In Progress")</x:f>
        <x:v>0</x:v>
      </x:c>
    </x:row>
    <x:row r="14">
      <x:c r="A14" s="16" t="s">
        <x:v>17</x:v>
      </x:c>
      <x:c r="B14" s="23" t="n">
        <x:f>COUNTIF('API Test Cases'!$M$6:$M$274,"Not Run")+COUNTIF('UI Test Cases'!$J$6:$J$156,"Not Run")</x:f>
        <x:v>284</x:v>
      </x:c>
    </x:row>
    <x:row r="15">
      <x:c r="A15" s="16" t="s">
        <x:v>18</x:v>
      </x:c>
      <x:c r="B15" s="18" t="n">
        <x:f>SUM(B10:B12)</x:f>
        <x:v>136</x:v>
      </x:c>
    </x:row>
    <x:row r="16">
      <x:c r="A16" s="17" t="s">
        <x:v>19</x:v>
      </x:c>
      <x:c r="B16" s="19" t="n">
        <x:f>IF(SUM(B10:B11)=0,0,B10/SUM(B10:B11))</x:f>
        <x:v>1</x:v>
      </x:c>
    </x:row>
    <x:row r="19" ht="15">
      <x:c r="A19" s="21" t="s">
        <x:v>20</x:v>
      </x:c>
      <x:c r="B19" s="21"/>
      <x:c r="C19" s="21"/>
      <x:c r="D19" s="21"/>
      <x:c r="E19" s="21"/>
      <x:c r="F19" s="21"/>
    </x:row>
    <x:row r="20" ht="27.950000762939453" customHeight="1">
      <x:c r="A20" s="22" t="s">
        <x:v>21</x:v>
      </x:c>
      <x:c r="B20" s="22"/>
      <x:c r="C20" s="22"/>
      <x:c r="D20" s="22"/>
      <x:c r="E20" s="22"/>
      <x:c r="F20" s="22"/>
    </x:row>
    <x:row r="21" ht="27.950000762939453" customHeight="1">
      <x:c r="A21" s="22" t="s">
        <x:v>22</x:v>
      </x:c>
      <x:c r="B21" s="22"/>
      <x:c r="C21" s="22"/>
      <x:c r="D21" s="22"/>
      <x:c r="E21" s="22"/>
      <x:c r="F21" s="22"/>
    </x:row>
    <x:row r="22" ht="27.950000762939453" customHeight="1">
      <x:c r="A22" s="22" t="s">
        <x:v>23</x:v>
      </x:c>
      <x:c r="B22" s="22"/>
      <x:c r="C22" s="22"/>
      <x:c r="D22" s="22"/>
      <x:c r="E22" s="22"/>
      <x:c r="F22" s="22"/>
    </x:row>
    <x:row r="23" ht="27.950000762939453" customHeight="1">
      <x:c r="A23" s="22" t="s">
        <x:v>24</x:v>
      </x:c>
      <x:c r="B23" s="22"/>
      <x:c r="C23" s="22"/>
      <x:c r="D23" s="22"/>
      <x:c r="E23" s="22"/>
      <x:c r="F23" s="22"/>
    </x:row>
    <x:row r="24" ht="27.950000762939453" customHeight="1">
      <x:c r="A24" s="22" t="s">
        <x:v>25</x:v>
      </x:c>
      <x:c r="B24" s="22"/>
      <x:c r="C24" s="22"/>
      <x:c r="D24" s="22"/>
      <x:c r="E24" s="22"/>
      <x:c r="F24" s="22"/>
    </x:row>
    <x:row r="25" ht="52" customHeight="1">
      <x:c r="A25" s="36" t="str">
        <x:v>6. Giữ kết quả 150 case cũ theo lịch sử; case bổ sung là Not Run. Các case có luồng đã thay đổi được ghi chú để kiểm thử lại.</x:v>
      </x:c>
    </x:row>
    <x:row r="26" ht="52" customHeight="1">
      <x:c r="A26" s="36" t="str">
        <x:v>7. Với thanh toán, Lalamove, AI và email, dùng sandbox/mock và dữ liệu test; không chạy thao tác gửi tiền/mail/booking trên khách thật.</x:v>
      </x:c>
    </x:row>
  </x:sheetData>
  <x:conditionalFormatting sqref="B10:B10">
    <x:cfRule type="cellIs" dxfId="16" priority="1" operator="greaterThan">
      <x:formula>0</x:formula>
    </x:cfRule>
  </x:conditionalFormatting>
  <x:conditionalFormatting sqref="B11:B11">
    <x:cfRule type="cellIs" dxfId="15" priority="2" operator="greaterThan">
      <x:formula>0</x:formula>
    </x:cfRule>
  </x:conditionalFormatting>
  <x:conditionalFormatting sqref="B12:B12">
    <x:cfRule type="cellIs" dxfId="14" priority="3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EE8FA0"/>
  </x:sheetPr>
  <x:sheetViews>
    <x:sheetView showGridLines="0" workbookViewId="0">
      <x:pane xSplit="2" ySplit="5" topLeftCell="C6" activePane="bottomRight" state="frozen"/>
    </x:sheetView>
  </x:sheetViews>
  <x:sheetFormatPr defaultRowHeight="14.25"/>
  <x:cols>
    <x:col min="1" max="1" width="13" customWidth="1"/>
    <x:col min="2" max="2" width="16" customWidth="1"/>
    <x:col min="3" max="3" width="28" customWidth="1"/>
    <x:col min="4" max="4" width="10" customWidth="1"/>
    <x:col min="5" max="5" width="32" customWidth="1"/>
    <x:col min="6" max="7" width="13" customWidth="1"/>
    <x:col min="8" max="10" width="32" customWidth="1"/>
    <x:col min="11" max="11" width="14" customWidth="1"/>
    <x:col min="12" max="12" width="38" customWidth="1"/>
    <x:col min="13" max="13" width="15" customWidth="1"/>
    <x:col min="14" max="14" width="30" customWidth="1"/>
    <x:col min="15" max="15" width="16" customWidth="1"/>
    <x:col min="16" max="16" width="13" customWidth="1"/>
    <x:col min="17" max="17" width="24" customWidth="1"/>
  </x:cols>
  <x:sheetData>
    <x:row r="2" ht="26.100000381469727" customHeight="1">
      <x:c r="A2" s="1" t="s">
        <x:v>26</x:v>
      </x:c>
    </x:row>
    <x:row r="3">
      <x:c r="A3" s="3" t="s">
        <x:v>27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5" ht="33.95000076293945" customHeight="1">
      <x:c r="A5" s="6" t="s">
        <x:v>28</x:v>
      </x:c>
      <x:c r="B5" s="6" t="s">
        <x:v>29</x:v>
      </x:c>
      <x:c r="C5" s="6" t="s">
        <x:v>30</x:v>
      </x:c>
      <x:c r="D5" s="6" t="s">
        <x:v>31</x:v>
      </x:c>
      <x:c r="E5" s="6" t="s">
        <x:v>32</x:v>
      </x:c>
      <x:c r="F5" s="6" t="s">
        <x:v>33</x:v>
      </x:c>
      <x:c r="G5" s="6" t="s">
        <x:v>34</x:v>
      </x:c>
      <x:c r="H5" s="6" t="s">
        <x:v>35</x:v>
      </x:c>
      <x:c r="I5" s="6" t="s">
        <x:v>36</x:v>
      </x:c>
      <x:c r="J5" s="6" t="s">
        <x:v>37</x:v>
      </x:c>
      <x:c r="K5" s="6" t="s">
        <x:v>38</x:v>
      </x:c>
      <x:c r="L5" s="6" t="s">
        <x:v>39</x:v>
      </x:c>
      <x:c r="M5" s="6" t="s">
        <x:v>40</x:v>
      </x:c>
      <x:c r="N5" s="6" t="s">
        <x:v>41</x:v>
      </x:c>
      <x:c r="O5" s="6" t="s">
        <x:v>42</x:v>
      </x:c>
      <x:c r="P5" s="6" t="s">
        <x:v>43</x:v>
      </x:c>
      <x:c r="Q5" s="6" t="s">
        <x:v>44</x:v>
      </x:c>
    </x:row>
    <x:row r="6" ht="57.95000076293945" customHeight="1">
      <x:c r="A6" s="7" t="s">
        <x:v>45</x:v>
      </x:c>
      <x:c r="B6" s="4" t="s">
        <x:v>46</x:v>
      </x:c>
      <x:c r="C6" s="4" t="s">
        <x:v>47</x:v>
      </x:c>
      <x:c r="D6" s="11" t="s">
        <x:v>48</x:v>
      </x:c>
      <x:c r="E6" s="4" t="s">
        <x:v>49</x:v>
      </x:c>
      <x:c r="F6" s="4" t="s">
        <x:v>50</x:v>
      </x:c>
      <x:c r="G6" s="11" t="s">
        <x:v>9</x:v>
      </x:c>
      <x:c r="H6" s="4" t="s">
        <x:v>51</x:v>
      </x:c>
      <x:c r="I6" s="4" t="s">
        <x:v>52</x:v>
      </x:c>
      <x:c r="J6" s="4" t="s">
        <x:v>53</x:v>
      </x:c>
      <x:c r="K6" s="11">
        <x:v>200</x:v>
      </x:c>
      <x:c r="L6" s="4" t="s">
        <x:v>54</x:v>
      </x:c>
      <x:c r="M6" s="11" t="s">
        <x:v>17</x:v>
      </x:c>
      <x:c r="N6" s="4"/>
      <x:c r="O6" s="4"/>
      <x:c r="P6" s="9"/>
      <x:c r="Q6" s="4"/>
    </x:row>
    <x:row r="7" ht="57.95000076293945" customHeight="1">
      <x:c r="A7" s="7" t="s">
        <x:v>55</x:v>
      </x:c>
      <x:c r="B7" s="4" t="s">
        <x:v>46</x:v>
      </x:c>
      <x:c r="C7" s="4" t="s">
        <x:v>56</x:v>
      </x:c>
      <x:c r="D7" s="11" t="s">
        <x:v>48</x:v>
      </x:c>
      <x:c r="E7" s="4" t="s">
        <x:v>57</x:v>
      </x:c>
      <x:c r="F7" s="4" t="s">
        <x:v>58</x:v>
      </x:c>
      <x:c r="G7" s="11" t="s">
        <x:v>11</x:v>
      </x:c>
      <x:c r="H7" s="4" t="s">
        <x:v>51</x:v>
      </x:c>
      <x:c r="I7" s="4" t="s">
        <x:v>52</x:v>
      </x:c>
      <x:c r="J7" s="4" t="s">
        <x:v>59</x:v>
      </x:c>
      <x:c r="K7" s="11">
        <x:v>404</x:v>
      </x:c>
      <x:c r="L7" s="4" t="s">
        <x:v>60</x:v>
      </x:c>
      <x:c r="M7" s="11" t="s">
        <x:v>17</x:v>
      </x:c>
      <x:c r="N7" s="4"/>
      <x:c r="O7" s="4"/>
      <x:c r="P7" s="9"/>
      <x:c r="Q7" s="4"/>
    </x:row>
    <x:row r="8" ht="57.95000076293945" customHeight="1">
      <x:c r="A8" s="7" t="s">
        <x:v>61</x:v>
      </x:c>
      <x:c r="B8" s="4" t="s">
        <x:v>62</x:v>
      </x:c>
      <x:c r="C8" s="4" t="s">
        <x:v>63</x:v>
      </x:c>
      <x:c r="D8" s="11" t="s">
        <x:v>64</x:v>
      </x:c>
      <x:c r="E8" s="4" t="s">
        <x:v>65</x:v>
      </x:c>
      <x:c r="F8" s="4" t="s">
        <x:v>50</x:v>
      </x:c>
      <x:c r="G8" s="11" t="s">
        <x:v>7</x:v>
      </x:c>
      <x:c r="H8" s="4" t="s">
        <x:v>66</x:v>
      </x:c>
      <x:c r="I8" s="4" t="s">
        <x:v>67</x:v>
      </x:c>
      <x:c r="J8" s="4" t="s">
        <x:v>68</x:v>
      </x:c>
      <x:c r="K8" s="11">
        <x:v>201</x:v>
      </x:c>
      <x:c r="L8" s="4" t="s">
        <x:v>69</x:v>
      </x:c>
      <x:c r="M8" s="11" t="s">
        <x:v>17</x:v>
      </x:c>
      <x:c r="N8" s="4"/>
      <x:c r="O8" s="4"/>
      <x:c r="P8" s="9"/>
      <x:c r="Q8" s="4"/>
    </x:row>
    <x:row r="9" ht="57.95000076293945" customHeight="1">
      <x:c r="A9" s="7" t="s">
        <x:v>70</x:v>
      </x:c>
      <x:c r="B9" s="4" t="s">
        <x:v>62</x:v>
      </x:c>
      <x:c r="C9" s="4" t="s">
        <x:v>71</x:v>
      </x:c>
      <x:c r="D9" s="11" t="s">
        <x:v>64</x:v>
      </x:c>
      <x:c r="E9" s="4" t="s">
        <x:v>65</x:v>
      </x:c>
      <x:c r="F9" s="4" t="s">
        <x:v>58</x:v>
      </x:c>
      <x:c r="G9" s="11" t="s">
        <x:v>9</x:v>
      </x:c>
      <x:c r="H9" s="4" t="s">
        <x:v>52</x:v>
      </x:c>
      <x:c r="I9" s="4" t="s">
        <x:v>72</x:v>
      </x:c>
      <x:c r="J9" s="4" t="s">
        <x:v>73</x:v>
      </x:c>
      <x:c r="K9" s="11">
        <x:v>400</x:v>
      </x:c>
      <x:c r="L9" s="4" t="s">
        <x:v>74</x:v>
      </x:c>
      <x:c r="M9" s="11" t="s">
        <x:v>17</x:v>
      </x:c>
      <x:c r="N9" s="4"/>
      <x:c r="O9" s="4"/>
      <x:c r="P9" s="9"/>
      <x:c r="Q9" s="4"/>
    </x:row>
    <x:row r="10" ht="57.95000076293945" customHeight="1">
      <x:c r="A10" s="7" t="s">
        <x:v>75</x:v>
      </x:c>
      <x:c r="B10" s="4" t="s">
        <x:v>62</x:v>
      </x:c>
      <x:c r="C10" s="4" t="s">
        <x:v>76</x:v>
      </x:c>
      <x:c r="D10" s="11" t="s">
        <x:v>64</x:v>
      </x:c>
      <x:c r="E10" s="4" t="s">
        <x:v>65</x:v>
      </x:c>
      <x:c r="F10" s="4" t="s">
        <x:v>77</x:v>
      </x:c>
      <x:c r="G10" s="11" t="s">
        <x:v>9</x:v>
      </x:c>
      <x:c r="H10" s="4" t="s">
        <x:v>52</x:v>
      </x:c>
      <x:c r="I10" s="4" t="s">
        <x:v>78</x:v>
      </x:c>
      <x:c r="J10" s="4" t="s">
        <x:v>79</x:v>
      </x:c>
      <x:c r="K10" s="11">
        <x:v>400</x:v>
      </x:c>
      <x:c r="L10" s="4" t="s">
        <x:v>80</x:v>
      </x:c>
      <x:c r="M10" s="11" t="s">
        <x:v>17</x:v>
      </x:c>
      <x:c r="N10" s="4"/>
      <x:c r="O10" s="4"/>
      <x:c r="P10" s="9"/>
      <x:c r="Q10" s="4"/>
    </x:row>
    <x:row r="11" ht="57.95000076293945" customHeight="1">
      <x:c r="A11" s="7" t="s">
        <x:v>81</x:v>
      </x:c>
      <x:c r="B11" s="4" t="s">
        <x:v>62</x:v>
      </x:c>
      <x:c r="C11" s="4" t="s">
        <x:v>82</x:v>
      </x:c>
      <x:c r="D11" s="11" t="s">
        <x:v>64</x:v>
      </x:c>
      <x:c r="E11" s="4" t="s">
        <x:v>65</x:v>
      </x:c>
      <x:c r="F11" s="4" t="s">
        <x:v>77</x:v>
      </x:c>
      <x:c r="G11" s="11" t="s">
        <x:v>9</x:v>
      </x:c>
      <x:c r="H11" s="4" t="s">
        <x:v>52</x:v>
      </x:c>
      <x:c r="I11" s="4" t="s">
        <x:v>83</x:v>
      </x:c>
      <x:c r="J11" s="4" t="s">
        <x:v>79</x:v>
      </x:c>
      <x:c r="K11" s="11">
        <x:v>400</x:v>
      </x:c>
      <x:c r="L11" s="4" t="s">
        <x:v>84</x:v>
      </x:c>
      <x:c r="M11" s="11" t="s">
        <x:v>17</x:v>
      </x:c>
      <x:c r="N11" s="4"/>
      <x:c r="O11" s="4"/>
      <x:c r="P11" s="9"/>
      <x:c r="Q11" s="4"/>
    </x:row>
    <x:row r="12" ht="57.95000076293945" customHeight="1">
      <x:c r="A12" s="7" t="s">
        <x:v>85</x:v>
      </x:c>
      <x:c r="B12" s="4" t="s">
        <x:v>62</x:v>
      </x:c>
      <x:c r="C12" s="4" t="s">
        <x:v>86</x:v>
      </x:c>
      <x:c r="D12" s="11" t="s">
        <x:v>64</x:v>
      </x:c>
      <x:c r="E12" s="4" t="s">
        <x:v>65</x:v>
      </x:c>
      <x:c r="F12" s="4" t="s">
        <x:v>58</x:v>
      </x:c>
      <x:c r="G12" s="11" t="s">
        <x:v>9</x:v>
      </x:c>
      <x:c r="H12" s="4" t="s">
        <x:v>87</x:v>
      </x:c>
      <x:c r="I12" s="4" t="s">
        <x:v>88</x:v>
      </x:c>
      <x:c r="J12" s="4" t="s">
        <x:v>89</x:v>
      </x:c>
      <x:c r="K12" s="11">
        <x:v>400</x:v>
      </x:c>
      <x:c r="L12" s="4" t="s">
        <x:v>90</x:v>
      </x:c>
      <x:c r="M12" s="11" t="s">
        <x:v>17</x:v>
      </x:c>
      <x:c r="N12" s="4"/>
      <x:c r="O12" s="4"/>
      <x:c r="P12" s="9"/>
      <x:c r="Q12" s="4"/>
    </x:row>
    <x:row r="13" ht="57.95000076293945" customHeight="1">
      <x:c r="A13" s="7" t="s">
        <x:v>91</x:v>
      </x:c>
      <x:c r="B13" s="4" t="s">
        <x:v>62</x:v>
      </x:c>
      <x:c r="C13" s="4" t="s">
        <x:v>92</x:v>
      </x:c>
      <x:c r="D13" s="11" t="s">
        <x:v>64</x:v>
      </x:c>
      <x:c r="E13" s="4" t="s">
        <x:v>93</x:v>
      </x:c>
      <x:c r="F13" s="4" t="s">
        <x:v>50</x:v>
      </x:c>
      <x:c r="G13" s="11" t="s">
        <x:v>7</x:v>
      </x:c>
      <x:c r="H13" s="4" t="s">
        <x:v>94</x:v>
      </x:c>
      <x:c r="I13" s="4" t="s">
        <x:v>95</x:v>
      </x:c>
      <x:c r="J13" s="4" t="s">
        <x:v>96</x:v>
      </x:c>
      <x:c r="K13" s="11">
        <x:v>200</x:v>
      </x:c>
      <x:c r="L13" s="4" t="s">
        <x:v>97</x:v>
      </x:c>
      <x:c r="M13" s="11" t="s">
        <x:v>17</x:v>
      </x:c>
      <x:c r="N13" s="4"/>
      <x:c r="O13" s="4"/>
      <x:c r="P13" s="9"/>
      <x:c r="Q13" s="4"/>
    </x:row>
    <x:row r="14" ht="57.95000076293945" customHeight="1">
      <x:c r="A14" s="7" t="s">
        <x:v>98</x:v>
      </x:c>
      <x:c r="B14" s="4" t="s">
        <x:v>62</x:v>
      </x:c>
      <x:c r="C14" s="4" t="s">
        <x:v>99</x:v>
      </x:c>
      <x:c r="D14" s="11" t="s">
        <x:v>64</x:v>
      </x:c>
      <x:c r="E14" s="4" t="s">
        <x:v>93</x:v>
      </x:c>
      <x:c r="F14" s="4" t="s">
        <x:v>58</x:v>
      </x:c>
      <x:c r="G14" s="11" t="s">
        <x:v>7</x:v>
      </x:c>
      <x:c r="H14" s="4" t="s">
        <x:v>100</x:v>
      </x:c>
      <x:c r="I14" s="4" t="s">
        <x:v>101</x:v>
      </x:c>
      <x:c r="J14" s="4" t="s">
        <x:v>96</x:v>
      </x:c>
      <x:c r="K14" s="11">
        <x:v>401</x:v>
      </x:c>
      <x:c r="L14" s="4" t="s">
        <x:v>102</x:v>
      </x:c>
      <x:c r="M14" s="11" t="s">
        <x:v>17</x:v>
      </x:c>
      <x:c r="N14" s="4"/>
      <x:c r="O14" s="4"/>
      <x:c r="P14" s="9"/>
      <x:c r="Q14" s="4"/>
    </x:row>
    <x:row r="15" ht="57.95000076293945" customHeight="1">
      <x:c r="A15" s="7" t="s">
        <x:v>103</x:v>
      </x:c>
      <x:c r="B15" s="4" t="s">
        <x:v>62</x:v>
      </x:c>
      <x:c r="C15" s="4" t="s">
        <x:v>104</x:v>
      </x:c>
      <x:c r="D15" s="11" t="s">
        <x:v>64</x:v>
      </x:c>
      <x:c r="E15" s="4" t="s">
        <x:v>93</x:v>
      </x:c>
      <x:c r="F15" s="4" t="s">
        <x:v>77</x:v>
      </x:c>
      <x:c r="G15" s="11" t="s">
        <x:v>9</x:v>
      </x:c>
      <x:c r="H15" s="4" t="s">
        <x:v>52</x:v>
      </x:c>
      <x:c r="I15" s="4" t="s">
        <x:v>105</x:v>
      </x:c>
      <x:c r="J15" s="4" t="s">
        <x:v>96</x:v>
      </x:c>
      <x:c r="K15" s="11">
        <x:v>400</x:v>
      </x:c>
      <x:c r="L15" s="4" t="s">
        <x:v>106</x:v>
      </x:c>
      <x:c r="M15" s="11" t="s">
        <x:v>17</x:v>
      </x:c>
      <x:c r="N15" s="4"/>
      <x:c r="O15" s="4"/>
      <x:c r="P15" s="9"/>
      <x:c r="Q15" s="4"/>
    </x:row>
    <x:row r="16" ht="57.95000076293945" customHeight="1">
      <x:c r="A16" s="7" t="s">
        <x:v>107</x:v>
      </x:c>
      <x:c r="B16" s="4" t="s">
        <x:v>62</x:v>
      </x:c>
      <x:c r="C16" s="4" t="s">
        <x:v>108</x:v>
      </x:c>
      <x:c r="D16" s="11" t="s">
        <x:v>64</x:v>
      </x:c>
      <x:c r="E16" s="4" t="s">
        <x:v>93</x:v>
      </x:c>
      <x:c r="F16" s="4" t="s">
        <x:v>109</x:v>
      </x:c>
      <x:c r="G16" s="11" t="s">
        <x:v>9</x:v>
      </x:c>
      <x:c r="H16" s="4" t="s">
        <x:v>110</x:v>
      </x:c>
      <x:c r="I16" s="4" t="s">
        <x:v>95</x:v>
      </x:c>
      <x:c r="J16" s="4" t="s">
        <x:v>96</x:v>
      </x:c>
      <x:c r="K16" s="11">
        <x:v>403</x:v>
      </x:c>
      <x:c r="L16" s="4" t="s">
        <x:v>111</x:v>
      </x:c>
      <x:c r="M16" s="11" t="s">
        <x:v>17</x:v>
      </x:c>
      <x:c r="N16" s="4"/>
      <x:c r="O16" s="4"/>
      <x:c r="P16" s="9"/>
      <x:c r="Q16" s="4"/>
    </x:row>
    <x:row r="17" ht="57.95000076293945" customHeight="1">
      <x:c r="A17" s="7" t="s">
        <x:v>112</x:v>
      </x:c>
      <x:c r="B17" s="4" t="s">
        <x:v>62</x:v>
      </x:c>
      <x:c r="C17" s="4" t="s">
        <x:v>113</x:v>
      </x:c>
      <x:c r="D17" s="11" t="s">
        <x:v>64</x:v>
      </x:c>
      <x:c r="E17" s="4" t="s">
        <x:v>93</x:v>
      </x:c>
      <x:c r="F17" s="4" t="s">
        <x:v>109</x:v>
      </x:c>
      <x:c r="G17" s="11" t="s">
        <x:v>7</x:v>
      </x:c>
      <x:c r="H17" s="4" t="s">
        <x:v>114</x:v>
      </x:c>
      <x:c r="I17" s="4" t="s">
        <x:v>95</x:v>
      </x:c>
      <x:c r="J17" s="4" t="s">
        <x:v>115</x:v>
      </x:c>
      <x:c r="K17" s="11">
        <x:v>200</x:v>
      </x:c>
      <x:c r="L17" s="4" t="s">
        <x:v>116</x:v>
      </x:c>
      <x:c r="M17" s="11" t="s">
        <x:v>17</x:v>
      </x:c>
      <x:c r="N17" s="4"/>
      <x:c r="O17" s="4"/>
      <x:c r="P17" s="9"/>
      <x:c r="Q17" s="4"/>
    </x:row>
    <x:row r="18" ht="57.95000076293945" customHeight="1">
      <x:c r="A18" s="7" t="s">
        <x:v>117</x:v>
      </x:c>
      <x:c r="B18" s="4" t="s">
        <x:v>118</x:v>
      </x:c>
      <x:c r="C18" s="4" t="s">
        <x:v>119</x:v>
      </x:c>
      <x:c r="D18" s="11" t="s">
        <x:v>64</x:v>
      </x:c>
      <x:c r="E18" s="4" t="s">
        <x:v>120</x:v>
      </x:c>
      <x:c r="F18" s="4" t="s">
        <x:v>50</x:v>
      </x:c>
      <x:c r="G18" s="11" t="s">
        <x:v>7</x:v>
      </x:c>
      <x:c r="H18" s="4" t="s">
        <x:v>121</x:v>
      </x:c>
      <x:c r="I18" s="4" t="s">
        <x:v>122</x:v>
      </x:c>
      <x:c r="J18" s="4" t="s">
        <x:v>123</x:v>
      </x:c>
      <x:c r="K18" s="11">
        <x:v>200</x:v>
      </x:c>
      <x:c r="L18" s="4" t="s">
        <x:v>124</x:v>
      </x:c>
      <x:c r="M18" s="11" t="s">
        <x:v>17</x:v>
      </x:c>
      <x:c r="N18" s="4"/>
      <x:c r="O18" s="4"/>
      <x:c r="P18" s="9"/>
      <x:c r="Q18" s="4"/>
    </x:row>
    <x:row r="19" ht="57.95000076293945" customHeight="1">
      <x:c r="A19" s="7" t="s">
        <x:v>125</x:v>
      </x:c>
      <x:c r="B19" s="4" t="s">
        <x:v>118</x:v>
      </x:c>
      <x:c r="C19" s="4" t="s">
        <x:v>126</x:v>
      </x:c>
      <x:c r="D19" s="11" t="s">
        <x:v>64</x:v>
      </x:c>
      <x:c r="E19" s="4" t="s">
        <x:v>120</x:v>
      </x:c>
      <x:c r="F19" s="4" t="s">
        <x:v>77</x:v>
      </x:c>
      <x:c r="G19" s="11" t="s">
        <x:v>9</x:v>
      </x:c>
      <x:c r="H19" s="4" t="s">
        <x:v>52</x:v>
      </x:c>
      <x:c r="I19" s="4" t="s">
        <x:v>127</x:v>
      </x:c>
      <x:c r="J19" s="4" t="s">
        <x:v>128</x:v>
      </x:c>
      <x:c r="K19" s="11">
        <x:v>400</x:v>
      </x:c>
      <x:c r="L19" s="4" t="s">
        <x:v>129</x:v>
      </x:c>
      <x:c r="M19" s="11" t="s">
        <x:v>17</x:v>
      </x:c>
      <x:c r="N19" s="4"/>
      <x:c r="O19" s="4"/>
      <x:c r="P19" s="9"/>
      <x:c r="Q19" s="4"/>
    </x:row>
    <x:row r="20" ht="57.95000076293945" customHeight="1">
      <x:c r="A20" s="7" t="s">
        <x:v>130</x:v>
      </x:c>
      <x:c r="B20" s="4" t="s">
        <x:v>118</x:v>
      </x:c>
      <x:c r="C20" s="4" t="s">
        <x:v>131</x:v>
      </x:c>
      <x:c r="D20" s="11" t="s">
        <x:v>64</x:v>
      </x:c>
      <x:c r="E20" s="4" t="s">
        <x:v>120</x:v>
      </x:c>
      <x:c r="F20" s="4" t="s">
        <x:v>109</x:v>
      </x:c>
      <x:c r="G20" s="11" t="s">
        <x:v>9</x:v>
      </x:c>
      <x:c r="H20" s="4" t="s">
        <x:v>132</x:v>
      </x:c>
      <x:c r="I20" s="4" t="s">
        <x:v>133</x:v>
      </x:c>
      <x:c r="J20" s="4" t="s">
        <x:v>134</x:v>
      </x:c>
      <x:c r="K20" s="11">
        <x:v>429</x:v>
      </x:c>
      <x:c r="L20" s="4" t="s">
        <x:v>135</x:v>
      </x:c>
      <x:c r="M20" s="11" t="s">
        <x:v>12</x:v>
      </x:c>
      <x:c r="N20" s="4"/>
      <x:c r="O20" s="4"/>
      <x:c r="P20" s="9"/>
      <x:c r="Q20" s="4"/>
    </x:row>
    <x:row r="21" ht="57.95000076293945" customHeight="1">
      <x:c r="A21" s="7" t="s">
        <x:v>136</x:v>
      </x:c>
      <x:c r="B21" s="4" t="s">
        <x:v>118</x:v>
      </x:c>
      <x:c r="C21" s="4" t="s">
        <x:v>137</x:v>
      </x:c>
      <x:c r="D21" s="11" t="s">
        <x:v>64</x:v>
      </x:c>
      <x:c r="E21" s="4" t="s">
        <x:v>138</x:v>
      </x:c>
      <x:c r="F21" s="4" t="s">
        <x:v>50</x:v>
      </x:c>
      <x:c r="G21" s="11" t="s">
        <x:v>7</x:v>
      </x:c>
      <x:c r="H21" s="4" t="s">
        <x:v>139</x:v>
      </x:c>
      <x:c r="I21" s="4" t="s">
        <x:v>140</x:v>
      </x:c>
      <x:c r="J21" s="4" t="s">
        <x:v>141</x:v>
      </x:c>
      <x:c r="K21" s="11">
        <x:v>200</x:v>
      </x:c>
      <x:c r="L21" s="4" t="s">
        <x:v>142</x:v>
      </x:c>
      <x:c r="M21" s="11" t="s">
        <x:v>12</x:v>
      </x:c>
      <x:c r="N21" s="4"/>
      <x:c r="O21" s="4"/>
      <x:c r="P21" s="9"/>
      <x:c r="Q21" s="4"/>
    </x:row>
    <x:row r="22" ht="57.95000076293945" customHeight="1">
      <x:c r="A22" s="7" t="s">
        <x:v>143</x:v>
      </x:c>
      <x:c r="B22" s="4" t="s">
        <x:v>118</x:v>
      </x:c>
      <x:c r="C22" s="4" t="s">
        <x:v>144</x:v>
      </x:c>
      <x:c r="D22" s="11" t="s">
        <x:v>64</x:v>
      </x:c>
      <x:c r="E22" s="4" t="s">
        <x:v>138</x:v>
      </x:c>
      <x:c r="F22" s="4" t="s">
        <x:v>58</x:v>
      </x:c>
      <x:c r="G22" s="11" t="s">
        <x:v>9</x:v>
      </x:c>
      <x:c r="H22" s="4" t="s">
        <x:v>145</x:v>
      </x:c>
      <x:c r="I22" s="4" t="s">
        <x:v>146</x:v>
      </x:c>
      <x:c r="J22" s="4" t="s">
        <x:v>141</x:v>
      </x:c>
      <x:c r="K22" s="11">
        <x:v>400</x:v>
      </x:c>
      <x:c r="L22" s="4" t="s">
        <x:v>147</x:v>
      </x:c>
      <x:c r="M22" s="11" t="s">
        <x:v>12</x:v>
      </x:c>
      <x:c r="N22" s="4"/>
      <x:c r="O22" s="4"/>
      <x:c r="P22" s="9"/>
      <x:c r="Q22" s="4"/>
    </x:row>
    <x:row r="23" ht="57.95000076293945" customHeight="1">
      <x:c r="A23" s="7" t="s">
        <x:v>148</x:v>
      </x:c>
      <x:c r="B23" s="4" t="s">
        <x:v>118</x:v>
      </x:c>
      <x:c r="C23" s="4" t="s">
        <x:v>149</x:v>
      </x:c>
      <x:c r="D23" s="11" t="s">
        <x:v>64</x:v>
      </x:c>
      <x:c r="E23" s="4" t="s">
        <x:v>138</x:v>
      </x:c>
      <x:c r="F23" s="4" t="s">
        <x:v>150</x:v>
      </x:c>
      <x:c r="G23" s="11" t="s">
        <x:v>9</x:v>
      </x:c>
      <x:c r="H23" s="4" t="s">
        <x:v>151</x:v>
      </x:c>
      <x:c r="I23" s="4" t="s">
        <x:v>152</x:v>
      </x:c>
      <x:c r="J23" s="4" t="s">
        <x:v>141</x:v>
      </x:c>
      <x:c r="K23" s="11">
        <x:v>400</x:v>
      </x:c>
      <x:c r="L23" s="4" t="s">
        <x:v>153</x:v>
      </x:c>
      <x:c r="M23" s="11" t="s">
        <x:v>12</x:v>
      </x:c>
      <x:c r="N23" s="4"/>
      <x:c r="O23" s="4"/>
      <x:c r="P23" s="9"/>
      <x:c r="Q23" s="4"/>
    </x:row>
    <x:row r="24" ht="57.95000076293945" customHeight="1">
      <x:c r="A24" s="7" t="s">
        <x:v>154</x:v>
      </x:c>
      <x:c r="B24" s="4" t="s">
        <x:v>118</x:v>
      </x:c>
      <x:c r="C24" s="4" t="s">
        <x:v>155</x:v>
      </x:c>
      <x:c r="D24" s="11" t="s">
        <x:v>64</x:v>
      </x:c>
      <x:c r="E24" s="4" t="s">
        <x:v>138</x:v>
      </x:c>
      <x:c r="F24" s="4" t="s">
        <x:v>109</x:v>
      </x:c>
      <x:c r="G24" s="11" t="s">
        <x:v>9</x:v>
      </x:c>
      <x:c r="H24" s="4" t="s">
        <x:v>145</x:v>
      </x:c>
      <x:c r="I24" s="4" t="s">
        <x:v>156</x:v>
      </x:c>
      <x:c r="J24" s="4" t="s">
        <x:v>157</x:v>
      </x:c>
      <x:c r="K24" s="11">
        <x:v>429</x:v>
      </x:c>
      <x:c r="L24" s="4" t="s">
        <x:v>158</x:v>
      </x:c>
      <x:c r="M24" s="11" t="s">
        <x:v>12</x:v>
      </x:c>
      <x:c r="N24" s="4"/>
      <x:c r="O24" s="4"/>
      <x:c r="P24" s="9"/>
      <x:c r="Q24" s="4"/>
    </x:row>
    <x:row r="25" ht="57.95000076293945" customHeight="1">
      <x:c r="A25" s="7" t="s">
        <x:v>159</x:v>
      </x:c>
      <x:c r="B25" s="4" t="s">
        <x:v>118</x:v>
      </x:c>
      <x:c r="C25" s="4" t="s">
        <x:v>160</x:v>
      </x:c>
      <x:c r="D25" s="11" t="s">
        <x:v>64</x:v>
      </x:c>
      <x:c r="E25" s="4" t="s">
        <x:v>161</x:v>
      </x:c>
      <x:c r="F25" s="4" t="s">
        <x:v>50</x:v>
      </x:c>
      <x:c r="G25" s="11" t="s">
        <x:v>7</x:v>
      </x:c>
      <x:c r="H25" s="4" t="s">
        <x:v>162</x:v>
      </x:c>
      <x:c r="I25" s="4" t="s">
        <x:v>163</x:v>
      </x:c>
      <x:c r="J25" s="4" t="s">
        <x:v>164</x:v>
      </x:c>
      <x:c r="K25" s="11">
        <x:v>200</x:v>
      </x:c>
      <x:c r="L25" s="4" t="s">
        <x:v>165</x:v>
      </x:c>
      <x:c r="M25" s="11" t="s">
        <x:v>12</x:v>
      </x:c>
      <x:c r="N25" s="4"/>
      <x:c r="O25" s="4"/>
      <x:c r="P25" s="9"/>
      <x:c r="Q25" s="4"/>
    </x:row>
    <x:row r="26" ht="57.95000076293945" customHeight="1">
      <x:c r="A26" s="7" t="s">
        <x:v>166</x:v>
      </x:c>
      <x:c r="B26" s="4" t="s">
        <x:v>118</x:v>
      </x:c>
      <x:c r="C26" s="4" t="s">
        <x:v>167</x:v>
      </x:c>
      <x:c r="D26" s="11" t="s">
        <x:v>64</x:v>
      </x:c>
      <x:c r="E26" s="4" t="s">
        <x:v>161</x:v>
      </x:c>
      <x:c r="F26" s="4" t="s">
        <x:v>109</x:v>
      </x:c>
      <x:c r="G26" s="11" t="s">
        <x:v>7</x:v>
      </x:c>
      <x:c r="H26" s="4" t="s">
        <x:v>100</x:v>
      </x:c>
      <x:c r="I26" s="4" t="s">
        <x:v>168</x:v>
      </x:c>
      <x:c r="J26" s="4" t="s">
        <x:v>128</x:v>
      </x:c>
      <x:c r="K26" s="11">
        <x:v>400</x:v>
      </x:c>
      <x:c r="L26" s="4" t="s">
        <x:v>169</x:v>
      </x:c>
      <x:c r="M26" s="11" t="s">
        <x:v>12</x:v>
      </x:c>
      <x:c r="N26" s="4"/>
      <x:c r="O26" s="4"/>
      <x:c r="P26" s="9"/>
      <x:c r="Q26" s="4"/>
    </x:row>
    <x:row r="27" ht="57.95000076293945" customHeight="1">
      <x:c r="A27" s="7" t="s">
        <x:v>170</x:v>
      </x:c>
      <x:c r="B27" s="4" t="s">
        <x:v>118</x:v>
      </x:c>
      <x:c r="C27" s="4" t="s">
        <x:v>171</x:v>
      </x:c>
      <x:c r="D27" s="11" t="s">
        <x:v>64</x:v>
      </x:c>
      <x:c r="E27" s="4" t="s">
        <x:v>161</x:v>
      </x:c>
      <x:c r="F27" s="4" t="s">
        <x:v>109</x:v>
      </x:c>
      <x:c r="G27" s="11" t="s">
        <x:v>9</x:v>
      </x:c>
      <x:c r="H27" s="4" t="s">
        <x:v>172</x:v>
      </x:c>
      <x:c r="I27" s="4" t="s">
        <x:v>173</x:v>
      </x:c>
      <x:c r="J27" s="4" t="s">
        <x:v>174</x:v>
      </x:c>
      <x:c r="K27" s="11">
        <x:v>400</x:v>
      </x:c>
      <x:c r="L27" s="4" t="s">
        <x:v>175</x:v>
      </x:c>
      <x:c r="M27" s="11" t="s">
        <x:v>12</x:v>
      </x:c>
      <x:c r="N27" s="4"/>
      <x:c r="O27" s="4"/>
      <x:c r="P27" s="9"/>
      <x:c r="Q27" s="4"/>
    </x:row>
    <x:row r="28" ht="57.95000076293945" customHeight="1">
      <x:c r="A28" s="7" t="s">
        <x:v>176</x:v>
      </x:c>
      <x:c r="B28" s="4" t="s">
        <x:v>177</x:v>
      </x:c>
      <x:c r="C28" s="4" t="s">
        <x:v>178</x:v>
      </x:c>
      <x:c r="D28" s="11" t="s">
        <x:v>48</x:v>
      </x:c>
      <x:c r="E28" s="4" t="s">
        <x:v>179</x:v>
      </x:c>
      <x:c r="F28" s="4" t="s">
        <x:v>50</x:v>
      </x:c>
      <x:c r="G28" s="11" t="s">
        <x:v>9</x:v>
      </x:c>
      <x:c r="H28" s="4" t="s">
        <x:v>180</x:v>
      </x:c>
      <x:c r="I28" s="4" t="s">
        <x:v>181</x:v>
      </x:c>
      <x:c r="J28" s="4" t="s">
        <x:v>128</x:v>
      </x:c>
      <x:c r="K28" s="11">
        <x:v>200</x:v>
      </x:c>
      <x:c r="L28" s="4" t="s">
        <x:v>182</x:v>
      </x:c>
      <x:c r="M28" s="11" t="s">
        <x:v>12</x:v>
      </x:c>
      <x:c r="N28" s="4"/>
      <x:c r="O28" s="4"/>
      <x:c r="P28" s="9"/>
      <x:c r="Q28" s="4"/>
    </x:row>
    <x:row r="29" ht="57.95000076293945" customHeight="1">
      <x:c r="A29" s="7" t="s">
        <x:v>183</x:v>
      </x:c>
      <x:c r="B29" s="4" t="s">
        <x:v>177</x:v>
      </x:c>
      <x:c r="C29" s="4" t="s">
        <x:v>184</x:v>
      </x:c>
      <x:c r="D29" s="11" t="s">
        <x:v>48</x:v>
      </x:c>
      <x:c r="E29" s="4" t="s">
        <x:v>179</x:v>
      </x:c>
      <x:c r="F29" s="4" t="s">
        <x:v>109</x:v>
      </x:c>
      <x:c r="G29" s="11" t="s">
        <x:v>7</x:v>
      </x:c>
      <x:c r="H29" s="4" t="s">
        <x:v>185</x:v>
      </x:c>
      <x:c r="I29" s="4" t="s">
        <x:v>186</x:v>
      </x:c>
      <x:c r="J29" s="4" t="s">
        <x:v>128</x:v>
      </x:c>
      <x:c r="K29" s="11">
        <x:v>401</x:v>
      </x:c>
      <x:c r="L29" s="4" t="s">
        <x:v>187</x:v>
      </x:c>
      <x:c r="M29" s="11" t="s">
        <x:v>12</x:v>
      </x:c>
      <x:c r="N29" s="4"/>
      <x:c r="O29" s="4"/>
      <x:c r="P29" s="9"/>
      <x:c r="Q29" s="4"/>
    </x:row>
    <x:row r="30" ht="57.95000076293945" customHeight="1">
      <x:c r="A30" s="7" t="s">
        <x:v>188</x:v>
      </x:c>
      <x:c r="B30" s="4" t="s">
        <x:v>177</x:v>
      </x:c>
      <x:c r="C30" s="4" t="s">
        <x:v>189</x:v>
      </x:c>
      <x:c r="D30" s="11" t="s">
        <x:v>48</x:v>
      </x:c>
      <x:c r="E30" s="4" t="s">
        <x:v>179</x:v>
      </x:c>
      <x:c r="F30" s="4" t="s">
        <x:v>109</x:v>
      </x:c>
      <x:c r="G30" s="11" t="s">
        <x:v>9</x:v>
      </x:c>
      <x:c r="H30" s="4" t="s">
        <x:v>190</x:v>
      </x:c>
      <x:c r="I30" s="4" t="s">
        <x:v>191</x:v>
      </x:c>
      <x:c r="J30" s="4" t="s">
        <x:v>128</x:v>
      </x:c>
      <x:c r="K30" s="11">
        <x:v>401</x:v>
      </x:c>
      <x:c r="L30" s="4" t="s">
        <x:v>192</x:v>
      </x:c>
      <x:c r="M30" s="11" t="s">
        <x:v>12</x:v>
      </x:c>
      <x:c r="N30" s="4"/>
      <x:c r="O30" s="4"/>
      <x:c r="P30" s="9"/>
      <x:c r="Q30" s="4"/>
    </x:row>
    <x:row r="31" ht="57.95000076293945" customHeight="1">
      <x:c r="A31" s="7" t="s">
        <x:v>193</x:v>
      </x:c>
      <x:c r="B31" s="4" t="s">
        <x:v>177</x:v>
      </x:c>
      <x:c r="C31" s="4" t="s">
        <x:v>194</x:v>
      </x:c>
      <x:c r="D31" s="11" t="s">
        <x:v>48</x:v>
      </x:c>
      <x:c r="E31" s="4" t="s">
        <x:v>195</x:v>
      </x:c>
      <x:c r="F31" s="4" t="s">
        <x:v>50</x:v>
      </x:c>
      <x:c r="G31" s="11" t="s">
        <x:v>9</x:v>
      </x:c>
      <x:c r="H31" s="4" t="s">
        <x:v>196</x:v>
      </x:c>
      <x:c r="I31" s="4" t="s">
        <x:v>197</x:v>
      </x:c>
      <x:c r="J31" s="4" t="s">
        <x:v>128</x:v>
      </x:c>
      <x:c r="K31" s="11">
        <x:v>200</x:v>
      </x:c>
      <x:c r="L31" s="4" t="s">
        <x:v>198</x:v>
      </x:c>
      <x:c r="M31" s="11" t="s">
        <x:v>12</x:v>
      </x:c>
      <x:c r="N31" s="4"/>
      <x:c r="O31" s="4"/>
      <x:c r="P31" s="9"/>
      <x:c r="Q31" s="4"/>
    </x:row>
    <x:row r="32" ht="57.95000076293945" customHeight="1">
      <x:c r="A32" s="7" t="s">
        <x:v>199</x:v>
      </x:c>
      <x:c r="B32" s="4" t="s">
        <x:v>177</x:v>
      </x:c>
      <x:c r="C32" s="4" t="s">
        <x:v>200</x:v>
      </x:c>
      <x:c r="D32" s="11" t="s">
        <x:v>201</x:v>
      </x:c>
      <x:c r="E32" s="4" t="s">
        <x:v>179</x:v>
      </x:c>
      <x:c r="F32" s="4" t="s">
        <x:v>50</x:v>
      </x:c>
      <x:c r="G32" s="11" t="s">
        <x:v>9</x:v>
      </x:c>
      <x:c r="H32" s="4" t="s">
        <x:v>202</x:v>
      </x:c>
      <x:c r="I32" s="4" t="s">
        <x:v>203</x:v>
      </x:c>
      <x:c r="J32" s="4" t="s">
        <x:v>204</x:v>
      </x:c>
      <x:c r="K32" s="11">
        <x:v>200</x:v>
      </x:c>
      <x:c r="L32" s="4" t="s">
        <x:v>205</x:v>
      </x:c>
      <x:c r="M32" s="11" t="s">
        <x:v>12</x:v>
      </x:c>
      <x:c r="N32" s="4"/>
      <x:c r="O32" s="4"/>
      <x:c r="P32" s="9"/>
      <x:c r="Q32" s="4"/>
    </x:row>
    <x:row r="33" ht="57.95000076293945" customHeight="1">
      <x:c r="A33" s="7" t="s">
        <x:v>206</x:v>
      </x:c>
      <x:c r="B33" s="4" t="s">
        <x:v>177</x:v>
      </x:c>
      <x:c r="C33" s="4" t="s">
        <x:v>207</x:v>
      </x:c>
      <x:c r="D33" s="11" t="s">
        <x:v>201</x:v>
      </x:c>
      <x:c r="E33" s="4" t="s">
        <x:v>179</x:v>
      </x:c>
      <x:c r="F33" s="4" t="s">
        <x:v>109</x:v>
      </x:c>
      <x:c r="G33" s="11" t="s">
        <x:v>7</x:v>
      </x:c>
      <x:c r="H33" s="4" t="s">
        <x:v>208</x:v>
      </x:c>
      <x:c r="I33" s="4" t="s">
        <x:v>209</x:v>
      </x:c>
      <x:c r="J33" s="4" t="s">
        <x:v>210</x:v>
      </x:c>
      <x:c r="K33" s="11">
        <x:v>200</x:v>
      </x:c>
      <x:c r="L33" s="4" t="s">
        <x:v>211</x:v>
      </x:c>
      <x:c r="M33" s="11" t="s">
        <x:v>12</x:v>
      </x:c>
      <x:c r="N33" s="4"/>
      <x:c r="O33" s="4"/>
      <x:c r="P33" s="9"/>
      <x:c r="Q33" s="4"/>
    </x:row>
    <x:row r="34" ht="57.95000076293945" customHeight="1">
      <x:c r="A34" s="7" t="s">
        <x:v>212</x:v>
      </x:c>
      <x:c r="B34" s="4" t="s">
        <x:v>177</x:v>
      </x:c>
      <x:c r="C34" s="4" t="s">
        <x:v>213</x:v>
      </x:c>
      <x:c r="D34" s="11" t="s">
        <x:v>214</x:v>
      </x:c>
      <x:c r="E34" s="4" t="s">
        <x:v>215</x:v>
      </x:c>
      <x:c r="F34" s="4" t="s">
        <x:v>50</x:v>
      </x:c>
      <x:c r="G34" s="11" t="s">
        <x:v>9</x:v>
      </x:c>
      <x:c r="H34" s="4" t="s">
        <x:v>202</x:v>
      </x:c>
      <x:c r="I34" s="4" t="s">
        <x:v>216</x:v>
      </x:c>
      <x:c r="J34" s="4" t="s">
        <x:v>217</x:v>
      </x:c>
      <x:c r="K34" s="11">
        <x:v>200</x:v>
      </x:c>
      <x:c r="L34" s="4" t="s">
        <x:v>218</x:v>
      </x:c>
      <x:c r="M34" s="11" t="s">
        <x:v>12</x:v>
      </x:c>
      <x:c r="N34" s="4"/>
      <x:c r="O34" s="4"/>
      <x:c r="P34" s="9"/>
      <x:c r="Q34" s="4"/>
    </x:row>
    <x:row r="35" ht="57.95000076293945" customHeight="1">
      <x:c r="A35" s="7" t="s">
        <x:v>219</x:v>
      </x:c>
      <x:c r="B35" s="4" t="s">
        <x:v>177</x:v>
      </x:c>
      <x:c r="C35" s="4" t="s">
        <x:v>220</x:v>
      </x:c>
      <x:c r="D35" s="11" t="s">
        <x:v>214</x:v>
      </x:c>
      <x:c r="E35" s="4" t="s">
        <x:v>215</x:v>
      </x:c>
      <x:c r="F35" s="4" t="s">
        <x:v>58</x:v>
      </x:c>
      <x:c r="G35" s="11" t="s">
        <x:v>11</x:v>
      </x:c>
      <x:c r="H35" s="4" t="s">
        <x:v>202</x:v>
      </x:c>
      <x:c r="I35" s="4" t="s">
        <x:v>221</x:v>
      </x:c>
      <x:c r="J35" s="4" t="s">
        <x:v>222</x:v>
      </x:c>
      <x:c r="K35" s="11">
        <x:v>400</x:v>
      </x:c>
      <x:c r="L35" s="4" t="s">
        <x:v>223</x:v>
      </x:c>
      <x:c r="M35" s="11" t="s">
        <x:v>12</x:v>
      </x:c>
      <x:c r="N35" s="4"/>
      <x:c r="O35" s="4"/>
      <x:c r="P35" s="9"/>
      <x:c r="Q35" s="4"/>
    </x:row>
    <x:row r="36" ht="57.95000076293945" customHeight="1">
      <x:c r="A36" s="7" t="s">
        <x:v>224</x:v>
      </x:c>
      <x:c r="B36" s="4" t="s">
        <x:v>177</x:v>
      </x:c>
      <x:c r="C36" s="4" t="s">
        <x:v>225</x:v>
      </x:c>
      <x:c r="D36" s="11" t="s">
        <x:v>214</x:v>
      </x:c>
      <x:c r="E36" s="4" t="s">
        <x:v>215</x:v>
      </x:c>
      <x:c r="F36" s="4" t="s">
        <x:v>77</x:v>
      </x:c>
      <x:c r="G36" s="11" t="s">
        <x:v>9</x:v>
      </x:c>
      <x:c r="H36" s="4" t="s">
        <x:v>202</x:v>
      </x:c>
      <x:c r="I36" s="4" t="s">
        <x:v>226</x:v>
      </x:c>
      <x:c r="J36" s="4" t="s">
        <x:v>217</x:v>
      </x:c>
      <x:c r="K36" s="11">
        <x:v>400</x:v>
      </x:c>
      <x:c r="L36" s="4" t="s">
        <x:v>227</x:v>
      </x:c>
      <x:c r="M36" s="11" t="s">
        <x:v>12</x:v>
      </x:c>
      <x:c r="N36" s="4"/>
      <x:c r="O36" s="4"/>
      <x:c r="P36" s="9"/>
      <x:c r="Q36" s="4"/>
    </x:row>
    <x:row r="37" ht="57.95000076293945" customHeight="1">
      <x:c r="A37" s="7" t="s">
        <x:v>228</x:v>
      </x:c>
      <x:c r="B37" s="4" t="s">
        <x:v>177</x:v>
      </x:c>
      <x:c r="C37" s="4" t="s">
        <x:v>229</x:v>
      </x:c>
      <x:c r="D37" s="11" t="s">
        <x:v>214</x:v>
      </x:c>
      <x:c r="E37" s="4" t="s">
        <x:v>215</x:v>
      </x:c>
      <x:c r="F37" s="4" t="s">
        <x:v>150</x:v>
      </x:c>
      <x:c r="G37" s="11" t="s">
        <x:v>11</x:v>
      </x:c>
      <x:c r="H37" s="4" t="s">
        <x:v>202</x:v>
      </x:c>
      <x:c r="I37" s="4" t="s">
        <x:v>230</x:v>
      </x:c>
      <x:c r="J37" s="4" t="s">
        <x:v>217</x:v>
      </x:c>
      <x:c r="K37" s="11">
        <x:v>400</x:v>
      </x:c>
      <x:c r="L37" s="4" t="s">
        <x:v>231</x:v>
      </x:c>
      <x:c r="M37" s="11" t="s">
        <x:v>12</x:v>
      </x:c>
      <x:c r="N37" s="4"/>
      <x:c r="O37" s="4"/>
      <x:c r="P37" s="9"/>
      <x:c r="Q37" s="4"/>
    </x:row>
    <x:row r="38" ht="57.95000076293945" customHeight="1">
      <x:c r="A38" s="7" t="s">
        <x:v>232</x:v>
      </x:c>
      <x:c r="B38" s="4" t="s">
        <x:v>233</x:v>
      </x:c>
      <x:c r="C38" s="4" t="s">
        <x:v>234</x:v>
      </x:c>
      <x:c r="D38" s="11" t="s">
        <x:v>48</x:v>
      </x:c>
      <x:c r="E38" s="4" t="s">
        <x:v>235</x:v>
      </x:c>
      <x:c r="F38" s="4" t="s">
        <x:v>50</x:v>
      </x:c>
      <x:c r="G38" s="11" t="s">
        <x:v>7</x:v>
      </x:c>
      <x:c r="H38" s="4" t="s">
        <x:v>202</x:v>
      </x:c>
      <x:c r="I38" s="4" t="s">
        <x:v>236</x:v>
      </x:c>
      <x:c r="J38" s="4" t="s">
        <x:v>128</x:v>
      </x:c>
      <x:c r="K38" s="11">
        <x:v>200</x:v>
      </x:c>
      <x:c r="L38" s="4" t="s">
        <x:v>237</x:v>
      </x:c>
      <x:c r="M38" s="11" t="s">
        <x:v>12</x:v>
      </x:c>
      <x:c r="N38" s="4"/>
      <x:c r="O38" s="4"/>
      <x:c r="P38" s="9"/>
      <x:c r="Q38" s="4"/>
    </x:row>
    <x:row r="39" ht="57.95000076293945" customHeight="1">
      <x:c r="A39" s="7" t="s">
        <x:v>238</x:v>
      </x:c>
      <x:c r="B39" s="4" t="s">
        <x:v>233</x:v>
      </x:c>
      <x:c r="C39" s="4" t="s">
        <x:v>239</x:v>
      </x:c>
      <x:c r="D39" s="11" t="s">
        <x:v>48</x:v>
      </x:c>
      <x:c r="E39" s="4" t="s">
        <x:v>235</x:v>
      </x:c>
      <x:c r="F39" s="4" t="s">
        <x:v>109</x:v>
      </x:c>
      <x:c r="G39" s="11" t="s">
        <x:v>9</x:v>
      </x:c>
      <x:c r="H39" s="4" t="s">
        <x:v>185</x:v>
      </x:c>
      <x:c r="I39" s="4" t="s">
        <x:v>186</x:v>
      </x:c>
      <x:c r="J39" s="4" t="s">
        <x:v>128</x:v>
      </x:c>
      <x:c r="K39" s="11">
        <x:v>401</x:v>
      </x:c>
      <x:c r="L39" s="4" t="s">
        <x:v>240</x:v>
      </x:c>
      <x:c r="M39" s="11" t="s">
        <x:v>12</x:v>
      </x:c>
      <x:c r="N39" s="4"/>
      <x:c r="O39" s="4"/>
      <x:c r="P39" s="9"/>
      <x:c r="Q39" s="4"/>
    </x:row>
    <x:row r="40" ht="57.95000076293945" customHeight="1">
      <x:c r="A40" s="7" t="s">
        <x:v>241</x:v>
      </x:c>
      <x:c r="B40" s="4" t="s">
        <x:v>233</x:v>
      </x:c>
      <x:c r="C40" s="4" t="s">
        <x:v>242</x:v>
      </x:c>
      <x:c r="D40" s="11" t="s">
        <x:v>48</x:v>
      </x:c>
      <x:c r="E40" s="4" t="s">
        <x:v>243</x:v>
      </x:c>
      <x:c r="F40" s="4" t="s">
        <x:v>50</x:v>
      </x:c>
      <x:c r="G40" s="11" t="s">
        <x:v>11</x:v>
      </x:c>
      <x:c r="H40" s="4" t="s">
        <x:v>244</x:v>
      </x:c>
      <x:c r="I40" s="4" t="s">
        <x:v>245</x:v>
      </x:c>
      <x:c r="J40" s="4" t="s">
        <x:v>128</x:v>
      </x:c>
      <x:c r="K40" s="11">
        <x:v>200</x:v>
      </x:c>
      <x:c r="L40" s="4" t="s">
        <x:v>246</x:v>
      </x:c>
      <x:c r="M40" s="11" t="s">
        <x:v>12</x:v>
      </x:c>
      <x:c r="N40" s="4"/>
      <x:c r="O40" s="4"/>
      <x:c r="P40" s="9"/>
      <x:c r="Q40" s="4"/>
    </x:row>
    <x:row r="41" ht="57.95000076293945" customHeight="1">
      <x:c r="A41" s="7" t="s">
        <x:v>247</x:v>
      </x:c>
      <x:c r="B41" s="4" t="s">
        <x:v>233</x:v>
      </x:c>
      <x:c r="C41" s="4" t="s">
        <x:v>248</x:v>
      </x:c>
      <x:c r="D41" s="11" t="s">
        <x:v>48</x:v>
      </x:c>
      <x:c r="E41" s="4" t="s">
        <x:v>249</x:v>
      </x:c>
      <x:c r="F41" s="4" t="s">
        <x:v>50</x:v>
      </x:c>
      <x:c r="G41" s="11" t="s">
        <x:v>11</x:v>
      </x:c>
      <x:c r="H41" s="4" t="s">
        <x:v>250</x:v>
      </x:c>
      <x:c r="I41" s="4" t="s">
        <x:v>251</x:v>
      </x:c>
      <x:c r="J41" s="4" t="s">
        <x:v>128</x:v>
      </x:c>
      <x:c r="K41" s="11">
        <x:v>200</x:v>
      </x:c>
      <x:c r="L41" s="4" t="s">
        <x:v>252</x:v>
      </x:c>
      <x:c r="M41" s="11" t="s">
        <x:v>12</x:v>
      </x:c>
      <x:c r="N41" s="4"/>
      <x:c r="O41" s="4"/>
      <x:c r="P41" s="9"/>
      <x:c r="Q41" s="4"/>
    </x:row>
    <x:row r="42" ht="57.95000076293945" customHeight="1">
      <x:c r="A42" s="7" t="s">
        <x:v>253</x:v>
      </x:c>
      <x:c r="B42" s="4" t="s">
        <x:v>233</x:v>
      </x:c>
      <x:c r="C42" s="4" t="s">
        <x:v>254</x:v>
      </x:c>
      <x:c r="D42" s="11" t="s">
        <x:v>48</x:v>
      </x:c>
      <x:c r="E42" s="4" t="s">
        <x:v>255</x:v>
      </x:c>
      <x:c r="F42" s="4" t="s">
        <x:v>150</x:v>
      </x:c>
      <x:c r="G42" s="11" t="s">
        <x:v>11</x:v>
      </x:c>
      <x:c r="H42" s="4" t="s">
        <x:v>256</x:v>
      </x:c>
      <x:c r="I42" s="4" t="s">
        <x:v>257</x:v>
      </x:c>
      <x:c r="J42" s="4" t="s">
        <x:v>128</x:v>
      </x:c>
      <x:c r="K42" s="11">
        <x:v>200</x:v>
      </x:c>
      <x:c r="L42" s="4" t="s">
        <x:v>258</x:v>
      </x:c>
      <x:c r="M42" s="11" t="s">
        <x:v>12</x:v>
      </x:c>
      <x:c r="N42" s="4"/>
      <x:c r="O42" s="4"/>
      <x:c r="P42" s="9"/>
      <x:c r="Q42" s="4"/>
    </x:row>
    <x:row r="43" ht="57.95000076293945" customHeight="1">
      <x:c r="A43" s="7" t="s">
        <x:v>259</x:v>
      </x:c>
      <x:c r="B43" s="4" t="s">
        <x:v>233</x:v>
      </x:c>
      <x:c r="C43" s="4" t="s">
        <x:v>260</x:v>
      </x:c>
      <x:c r="D43" s="11" t="s">
        <x:v>48</x:v>
      </x:c>
      <x:c r="E43" s="4" t="s">
        <x:v>261</x:v>
      </x:c>
      <x:c r="F43" s="4" t="s">
        <x:v>50</x:v>
      </x:c>
      <x:c r="G43" s="11" t="s">
        <x:v>7</x:v>
      </x:c>
      <x:c r="H43" s="4" t="s">
        <x:v>262</x:v>
      </x:c>
      <x:c r="I43" s="4" t="s">
        <x:v>263</x:v>
      </x:c>
      <x:c r="J43" s="4" t="s">
        <x:v>128</x:v>
      </x:c>
      <x:c r="K43" s="11">
        <x:v>200</x:v>
      </x:c>
      <x:c r="L43" s="4" t="s">
        <x:v>264</x:v>
      </x:c>
      <x:c r="M43" s="11" t="s">
        <x:v>12</x:v>
      </x:c>
      <x:c r="N43" s="4"/>
      <x:c r="O43" s="4"/>
      <x:c r="P43" s="9"/>
      <x:c r="Q43" s="4"/>
    </x:row>
    <x:row r="44" ht="57.95000076293945" customHeight="1">
      <x:c r="A44" s="7" t="s">
        <x:v>265</x:v>
      </x:c>
      <x:c r="B44" s="4" t="s">
        <x:v>233</x:v>
      </x:c>
      <x:c r="C44" s="4" t="s">
        <x:v>266</x:v>
      </x:c>
      <x:c r="D44" s="11" t="s">
        <x:v>48</x:v>
      </x:c>
      <x:c r="E44" s="4" t="s">
        <x:v>261</x:v>
      </x:c>
      <x:c r="F44" s="4" t="s">
        <x:v>58</x:v>
      </x:c>
      <x:c r="G44" s="11" t="s">
        <x:v>9</x:v>
      </x:c>
      <x:c r="H44" s="4" t="s">
        <x:v>267</x:v>
      </x:c>
      <x:c r="I44" s="4" t="s">
        <x:v>268</x:v>
      </x:c>
      <x:c r="J44" s="4" t="s">
        <x:v>128</x:v>
      </x:c>
      <x:c r="K44" s="11">
        <x:v>404</x:v>
      </x:c>
      <x:c r="L44" s="4" t="s">
        <x:v>269</x:v>
      </x:c>
      <x:c r="M44" s="11" t="s">
        <x:v>12</x:v>
      </x:c>
      <x:c r="N44" s="4"/>
      <x:c r="O44" s="4"/>
      <x:c r="P44" s="9"/>
      <x:c r="Q44" s="4"/>
    </x:row>
    <x:row r="45" ht="57.95000076293945" customHeight="1">
      <x:c r="A45" s="7" t="s">
        <x:v>270</x:v>
      </x:c>
      <x:c r="B45" s="4" t="s">
        <x:v>233</x:v>
      </x:c>
      <x:c r="C45" s="4" t="s">
        <x:v>271</x:v>
      </x:c>
      <x:c r="D45" s="11" t="s">
        <x:v>48</x:v>
      </x:c>
      <x:c r="E45" s="4" t="s">
        <x:v>272</x:v>
      </x:c>
      <x:c r="F45" s="4" t="s">
        <x:v>77</x:v>
      </x:c>
      <x:c r="G45" s="11" t="s">
        <x:v>11</x:v>
      </x:c>
      <x:c r="H45" s="4" t="s">
        <x:v>267</x:v>
      </x:c>
      <x:c r="I45" s="4" t="s">
        <x:v>273</x:v>
      </x:c>
      <x:c r="J45" s="4" t="s">
        <x:v>128</x:v>
      </x:c>
      <x:c r="K45" s="11">
        <x:v>400</x:v>
      </x:c>
      <x:c r="L45" s="4" t="s">
        <x:v>274</x:v>
      </x:c>
      <x:c r="M45" s="11" t="s">
        <x:v>12</x:v>
      </x:c>
      <x:c r="N45" s="4"/>
      <x:c r="O45" s="4"/>
      <x:c r="P45" s="9"/>
      <x:c r="Q45" s="4"/>
    </x:row>
    <x:row r="46" ht="57.95000076293945" customHeight="1">
      <x:c r="A46" s="7" t="s">
        <x:v>275</x:v>
      </x:c>
      <x:c r="B46" s="4" t="s">
        <x:v>233</x:v>
      </x:c>
      <x:c r="C46" s="4" t="s">
        <x:v>276</x:v>
      </x:c>
      <x:c r="D46" s="11" t="s">
        <x:v>64</x:v>
      </x:c>
      <x:c r="E46" s="4" t="s">
        <x:v>235</x:v>
      </x:c>
      <x:c r="F46" s="4" t="s">
        <x:v>50</x:v>
      </x:c>
      <x:c r="G46" s="11" t="s">
        <x:v>7</x:v>
      </x:c>
      <x:c r="H46" s="4" t="s">
        <x:v>277</x:v>
      </x:c>
      <x:c r="I46" s="4" t="s">
        <x:v>278</x:v>
      </x:c>
      <x:c r="J46" s="4" t="s">
        <x:v>128</x:v>
      </x:c>
      <x:c r="K46" s="11">
        <x:v>201</x:v>
      </x:c>
      <x:c r="L46" s="4" t="s">
        <x:v>279</x:v>
      </x:c>
      <x:c r="M46" s="11" t="s">
        <x:v>12</x:v>
      </x:c>
      <x:c r="N46" s="4"/>
      <x:c r="O46" s="4"/>
      <x:c r="P46" s="9"/>
      <x:c r="Q46" s="4"/>
    </x:row>
    <x:row r="47" ht="57.95000076293945" customHeight="1">
      <x:c r="A47" s="7" t="s">
        <x:v>280</x:v>
      </x:c>
      <x:c r="B47" s="4" t="s">
        <x:v>233</x:v>
      </x:c>
      <x:c r="C47" s="4" t="s">
        <x:v>281</x:v>
      </x:c>
      <x:c r="D47" s="11" t="s">
        <x:v>64</x:v>
      </x:c>
      <x:c r="E47" s="4" t="s">
        <x:v>235</x:v>
      </x:c>
      <x:c r="F47" s="4" t="s">
        <x:v>50</x:v>
      </x:c>
      <x:c r="G47" s="11" t="s">
        <x:v>9</x:v>
      </x:c>
      <x:c r="H47" s="4" t="s">
        <x:v>277</x:v>
      </x:c>
      <x:c r="I47" s="4" t="s">
        <x:v>282</x:v>
      </x:c>
      <x:c r="J47" s="4" t="s">
        <x:v>128</x:v>
      </x:c>
      <x:c r="K47" s="11">
        <x:v>201</x:v>
      </x:c>
      <x:c r="L47" s="4" t="s">
        <x:v>283</x:v>
      </x:c>
      <x:c r="M47" s="11" t="s">
        <x:v>12</x:v>
      </x:c>
      <x:c r="N47" s="4"/>
      <x:c r="O47" s="4"/>
      <x:c r="P47" s="9"/>
      <x:c r="Q47" s="4"/>
    </x:row>
    <x:row r="48" ht="57.95000076293945" customHeight="1">
      <x:c r="A48" s="7" t="s">
        <x:v>284</x:v>
      </x:c>
      <x:c r="B48" s="4" t="s">
        <x:v>233</x:v>
      </x:c>
      <x:c r="C48" s="4" t="s">
        <x:v>285</x:v>
      </x:c>
      <x:c r="D48" s="11" t="s">
        <x:v>64</x:v>
      </x:c>
      <x:c r="E48" s="4" t="s">
        <x:v>235</x:v>
      </x:c>
      <x:c r="F48" s="4" t="s">
        <x:v>77</x:v>
      </x:c>
      <x:c r="G48" s="11" t="s">
        <x:v>9</x:v>
      </x:c>
      <x:c r="H48" s="4" t="s">
        <x:v>277</x:v>
      </x:c>
      <x:c r="I48" s="4" t="s">
        <x:v>286</x:v>
      </x:c>
      <x:c r="J48" s="4" t="s">
        <x:v>128</x:v>
      </x:c>
      <x:c r="K48" s="11">
        <x:v>400</x:v>
      </x:c>
      <x:c r="L48" s="4" t="s">
        <x:v>287</x:v>
      </x:c>
      <x:c r="M48" s="11" t="s">
        <x:v>12</x:v>
      </x:c>
      <x:c r="N48" s="4"/>
      <x:c r="O48" s="4"/>
      <x:c r="P48" s="9"/>
      <x:c r="Q48" s="4"/>
    </x:row>
    <x:row r="49" ht="57.95000076293945" customHeight="1">
      <x:c r="A49" s="7" t="s">
        <x:v>288</x:v>
      </x:c>
      <x:c r="B49" s="4" t="s">
        <x:v>233</x:v>
      </x:c>
      <x:c r="C49" s="4" t="s">
        <x:v>289</x:v>
      </x:c>
      <x:c r="D49" s="11" t="s">
        <x:v>64</x:v>
      </x:c>
      <x:c r="E49" s="4" t="s">
        <x:v>235</x:v>
      </x:c>
      <x:c r="F49" s="4" t="s">
        <x:v>109</x:v>
      </x:c>
      <x:c r="G49" s="11" t="s">
        <x:v>7</x:v>
      </x:c>
      <x:c r="H49" s="4" t="s">
        <x:v>290</x:v>
      </x:c>
      <x:c r="I49" s="4" t="s">
        <x:v>291</x:v>
      </x:c>
      <x:c r="J49" s="4" t="s">
        <x:v>128</x:v>
      </x:c>
      <x:c r="K49" s="11">
        <x:v>403</x:v>
      </x:c>
      <x:c r="L49" s="4" t="s">
        <x:v>292</x:v>
      </x:c>
      <x:c r="M49" s="11" t="s">
        <x:v>12</x:v>
      </x:c>
      <x:c r="N49" s="4"/>
      <x:c r="O49" s="4"/>
      <x:c r="P49" s="9"/>
      <x:c r="Q49" s="4"/>
    </x:row>
    <x:row r="50" ht="57.95000076293945" customHeight="1">
      <x:c r="A50" s="7" t="s">
        <x:v>293</x:v>
      </x:c>
      <x:c r="B50" s="4" t="s">
        <x:v>233</x:v>
      </x:c>
      <x:c r="C50" s="4" t="s">
        <x:v>294</x:v>
      </x:c>
      <x:c r="D50" s="11" t="s">
        <x:v>201</x:v>
      </x:c>
      <x:c r="E50" s="4" t="s">
        <x:v>261</x:v>
      </x:c>
      <x:c r="F50" s="4" t="s">
        <x:v>50</x:v>
      </x:c>
      <x:c r="G50" s="11" t="s">
        <x:v>9</x:v>
      </x:c>
      <x:c r="H50" s="4" t="s">
        <x:v>295</x:v>
      </x:c>
      <x:c r="I50" s="4" t="s">
        <x:v>296</x:v>
      </x:c>
      <x:c r="J50" s="4" t="s">
        <x:v>297</x:v>
      </x:c>
      <x:c r="K50" s="11">
        <x:v>200</x:v>
      </x:c>
      <x:c r="L50" s="4" t="s">
        <x:v>298</x:v>
      </x:c>
      <x:c r="M50" s="11" t="s">
        <x:v>12</x:v>
      </x:c>
      <x:c r="N50" s="4"/>
      <x:c r="O50" s="4"/>
      <x:c r="P50" s="9"/>
      <x:c r="Q50" s="4"/>
    </x:row>
    <x:row r="51" ht="57.95000076293945" customHeight="1">
      <x:c r="A51" s="7" t="s">
        <x:v>299</x:v>
      </x:c>
      <x:c r="B51" s="4" t="s">
        <x:v>233</x:v>
      </x:c>
      <x:c r="C51" s="4" t="s">
        <x:v>300</x:v>
      </x:c>
      <x:c r="D51" s="11" t="s">
        <x:v>301</x:v>
      </x:c>
      <x:c r="E51" s="4" t="s">
        <x:v>261</x:v>
      </x:c>
      <x:c r="F51" s="4" t="s">
        <x:v>50</x:v>
      </x:c>
      <x:c r="G51" s="11" t="s">
        <x:v>9</x:v>
      </x:c>
      <x:c r="H51" s="4" t="s">
        <x:v>302</x:v>
      </x:c>
      <x:c r="I51" s="4" t="s">
        <x:v>303</x:v>
      </x:c>
      <x:c r="J51" s="4" t="s">
        <x:v>304</x:v>
      </x:c>
      <x:c r="K51" s="11">
        <x:v>200</x:v>
      </x:c>
      <x:c r="L51" s="4" t="s">
        <x:v>305</x:v>
      </x:c>
      <x:c r="M51" s="11" t="s">
        <x:v>12</x:v>
      </x:c>
      <x:c r="N51" s="4"/>
      <x:c r="O51" s="4"/>
      <x:c r="P51" s="9"/>
      <x:c r="Q51" s="4"/>
    </x:row>
    <x:row r="52" ht="57.95000076293945" customHeight="1">
      <x:c r="A52" s="7" t="s">
        <x:v>306</x:v>
      </x:c>
      <x:c r="B52" s="4" t="s">
        <x:v>233</x:v>
      </x:c>
      <x:c r="C52" s="4" t="s">
        <x:v>307</x:v>
      </x:c>
      <x:c r="D52" s="11" t="s">
        <x:v>301</x:v>
      </x:c>
      <x:c r="E52" s="4" t="s">
        <x:v>261</x:v>
      </x:c>
      <x:c r="F52" s="4" t="s">
        <x:v>109</x:v>
      </x:c>
      <x:c r="G52" s="11" t="s">
        <x:v>7</x:v>
      </x:c>
      <x:c r="H52" s="4" t="s">
        <x:v>290</x:v>
      </x:c>
      <x:c r="I52" s="4" t="s">
        <x:v>303</x:v>
      </x:c>
      <x:c r="J52" s="4" t="s">
        <x:v>308</x:v>
      </x:c>
      <x:c r="K52" s="11">
        <x:v>403</x:v>
      </x:c>
      <x:c r="L52" s="4" t="s">
        <x:v>309</x:v>
      </x:c>
      <x:c r="M52" s="11" t="s">
        <x:v>12</x:v>
      </x:c>
      <x:c r="N52" s="4"/>
      <x:c r="O52" s="4"/>
      <x:c r="P52" s="9"/>
      <x:c r="Q52" s="4"/>
    </x:row>
    <x:row r="53" ht="66" hidden="0" customHeight="1">
      <x:c r="A53" s="7" t="s">
        <x:v>310</x:v>
      </x:c>
      <x:c r="B53" s="4" t="s">
        <x:v>311</x:v>
      </x:c>
      <x:c r="C53" s="4" t="s">
        <x:v>312</x:v>
      </x:c>
      <x:c r="D53" s="11" t="s">
        <x:v>64</x:v>
      </x:c>
      <x:c r="E53" s="4" t="s">
        <x:v>313</x:v>
      </x:c>
      <x:c r="F53" s="4" t="s">
        <x:v>50</x:v>
      </x:c>
      <x:c r="G53" s="11" t="s">
        <x:v>9</x:v>
      </x:c>
      <x:c r="H53" s="4" t="s">
        <x:v>314</x:v>
      </x:c>
      <x:c r="I53" s="4" t="s">
        <x:v>315</x:v>
      </x:c>
      <x:c r="J53" s="4" t="s">
        <x:v>316</x:v>
      </x:c>
      <x:c r="K53" s="11">
        <x:v>201</x:v>
      </x:c>
      <x:c r="L53" s="4" t="s">
        <x:v>317</x:v>
      </x:c>
      <x:c r="M53" s="11" t="s">
        <x:v>12</x:v>
      </x:c>
      <x:c r="N53" s="4"/>
      <x:c r="O53" s="4"/>
      <x:c r="P53" s="9"/>
      <x:c r="Q53" s="4" t="str">
        <x:v>Bổ sung hiện tại: tạo review cần đơn đủ điều kiện; xem nhóm Review mới về eligibility/COD/Paid và ảnh. Giữ kết quả lịch sử, chưa chạy lại.</x:v>
      </x:c>
    </x:row>
    <x:row r="54" ht="66" hidden="0" customHeight="1">
      <x:c r="A54" s="7" t="s">
        <x:v>318</x:v>
      </x:c>
      <x:c r="B54" s="4" t="s">
        <x:v>311</x:v>
      </x:c>
      <x:c r="C54" s="4" t="s">
        <x:v>319</x:v>
      </x:c>
      <x:c r="D54" s="11" t="s">
        <x:v>64</x:v>
      </x:c>
      <x:c r="E54" s="4" t="s">
        <x:v>313</x:v>
      </x:c>
      <x:c r="F54" s="4" t="s">
        <x:v>77</x:v>
      </x:c>
      <x:c r="G54" s="11" t="s">
        <x:v>9</x:v>
      </x:c>
      <x:c r="H54" s="4" t="s">
        <x:v>290</x:v>
      </x:c>
      <x:c r="I54" s="4" t="s">
        <x:v>320</x:v>
      </x:c>
      <x:c r="J54" s="4" t="s">
        <x:v>128</x:v>
      </x:c>
      <x:c r="K54" s="11">
        <x:v>400</x:v>
      </x:c>
      <x:c r="L54" s="4" t="s">
        <x:v>321</x:v>
      </x:c>
      <x:c r="M54" s="11" t="s">
        <x:v>12</x:v>
      </x:c>
      <x:c r="N54" s="4"/>
      <x:c r="O54" s="4"/>
      <x:c r="P54" s="9"/>
      <x:c r="Q54" s="4" t="str">
        <x:v>Khi chạy lại, chuẩn bị đơn đủ điều kiện trước để đi tới validate rating, tránh nhận 403 do chưa mua. Kết quả lịch sử giữ nguyên.</x:v>
      </x:c>
    </x:row>
    <x:row r="55" ht="54" hidden="0" customHeight="1">
      <x:c r="A55" s="7" t="s">
        <x:v>322</x:v>
      </x:c>
      <x:c r="B55" s="4" t="s">
        <x:v>311</x:v>
      </x:c>
      <x:c r="C55" s="4" t="s">
        <x:v>323</x:v>
      </x:c>
      <x:c r="D55" s="11" t="s">
        <x:v>64</x:v>
      </x:c>
      <x:c r="E55" s="4" t="s">
        <x:v>313</x:v>
      </x:c>
      <x:c r="F55" s="4" t="s">
        <x:v>77</x:v>
      </x:c>
      <x:c r="G55" s="11" t="s">
        <x:v>11</x:v>
      </x:c>
      <x:c r="H55" s="4" t="s">
        <x:v>290</x:v>
      </x:c>
      <x:c r="I55" s="4" t="s">
        <x:v>324</x:v>
      </x:c>
      <x:c r="J55" s="4" t="s">
        <x:v>128</x:v>
      </x:c>
      <x:c r="K55" s="11">
        <x:v>400</x:v>
      </x:c>
      <x:c r="L55" s="4" t="s">
        <x:v>325</x:v>
      </x:c>
      <x:c r="M55" s="11" t="s">
        <x:v>12</x:v>
      </x:c>
      <x:c r="N55" s="4"/>
      <x:c r="O55" s="4"/>
      <x:c r="P55" s="9"/>
      <x:c r="Q55" s="4" t="str">
        <x:v>Khi chạy lại, chuẩn bị đơn đủ điều kiện trước để kiểm tra comment rỗng. Kết quả lịch sử giữ nguyên.</x:v>
      </x:c>
    </x:row>
    <x:row r="56" ht="54" hidden="0" customHeight="1">
      <x:c r="A56" s="7" t="s">
        <x:v>326</x:v>
      </x:c>
      <x:c r="B56" s="4" t="s">
        <x:v>311</x:v>
      </x:c>
      <x:c r="C56" s="4" t="s">
        <x:v>327</x:v>
      </x:c>
      <x:c r="D56" s="11" t="s">
        <x:v>64</x:v>
      </x:c>
      <x:c r="E56" s="4" t="s">
        <x:v>313</x:v>
      </x:c>
      <x:c r="F56" s="4" t="s">
        <x:v>58</x:v>
      </x:c>
      <x:c r="G56" s="11" t="s">
        <x:v>9</x:v>
      </x:c>
      <x:c r="H56" s="4" t="s">
        <x:v>328</x:v>
      </x:c>
      <x:c r="I56" s="4" t="s">
        <x:v>329</x:v>
      </x:c>
      <x:c r="J56" s="4" t="s">
        <x:v>128</x:v>
      </x:c>
      <x:c r="K56" s="11">
        <x:v>400</x:v>
      </x:c>
      <x:c r="L56" s="4" t="s">
        <x:v>330</x:v>
      </x:c>
      <x:c r="M56" s="11" t="s">
        <x:v>12</x:v>
      </x:c>
      <x:c r="N56" s="4"/>
      <x:c r="O56" s="4"/>
      <x:c r="P56" s="9"/>
      <x:c r="Q56" s="4" t="str">
        <x:v>Khi chạy lại, cần đơn đủ điều kiện và review đã có để kiểm tra trùng. Kết quả lịch sử giữ nguyên.</x:v>
      </x:c>
    </x:row>
    <x:row r="57" ht="78" hidden="0" customHeight="1">
      <x:c r="A57" s="7" t="s">
        <x:v>331</x:v>
      </x:c>
      <x:c r="B57" s="4" t="s">
        <x:v>311</x:v>
      </x:c>
      <x:c r="C57" s="4" t="s">
        <x:v>332</x:v>
      </x:c>
      <x:c r="D57" s="11" t="s">
        <x:v>201</x:v>
      </x:c>
      <x:c r="E57" s="4" t="s">
        <x:v>333</x:v>
      </x:c>
      <x:c r="F57" s="4" t="s">
        <x:v>50</x:v>
      </x:c>
      <x:c r="G57" s="11" t="s">
        <x:v>9</x:v>
      </x:c>
      <x:c r="H57" s="4" t="s">
        <x:v>334</x:v>
      </x:c>
      <x:c r="I57" s="4" t="s">
        <x:v>335</x:v>
      </x:c>
      <x:c r="J57" s="4" t="s">
        <x:v>128</x:v>
      </x:c>
      <x:c r="K57" s="11">
        <x:v>200</x:v>
      </x:c>
      <x:c r="L57" s="4" t="s">
        <x:v>336</x:v>
      </x:c>
      <x:c r="M57" s="11" t="s">
        <x:v>12</x:v>
      </x:c>
      <x:c r="N57" s="4"/>
      <x:c r="O57" s="4"/>
      <x:c r="P57" s="9"/>
      <x:c r="Q57" s="4" t="str">
        <x:v>Bổ sung hiện tại: user sửa review phải còn đơn đủ điều kiện; admin được xử lý theo quyền. Xem nhóm Review bổ sung; chưa chạy lại case lịch sử.</x:v>
      </x:c>
    </x:row>
    <x:row r="58" ht="57.95000076293945" customHeight="1">
      <x:c r="A58" s="7" t="s">
        <x:v>337</x:v>
      </x:c>
      <x:c r="B58" s="4" t="s">
        <x:v>311</x:v>
      </x:c>
      <x:c r="C58" s="4" t="s">
        <x:v>338</x:v>
      </x:c>
      <x:c r="D58" s="11" t="s">
        <x:v>201</x:v>
      </x:c>
      <x:c r="E58" s="4" t="s">
        <x:v>333</x:v>
      </x:c>
      <x:c r="F58" s="4" t="s">
        <x:v>109</x:v>
      </x:c>
      <x:c r="G58" s="11" t="s">
        <x:v>7</x:v>
      </x:c>
      <x:c r="H58" s="4" t="s">
        <x:v>339</x:v>
      </x:c>
      <x:c r="I58" s="4" t="s">
        <x:v>335</x:v>
      </x:c>
      <x:c r="J58" s="4" t="s">
        <x:v>340</x:v>
      </x:c>
      <x:c r="K58" s="11">
        <x:v>403</x:v>
      </x:c>
      <x:c r="L58" s="4" t="s">
        <x:v>341</x:v>
      </x:c>
      <x:c r="M58" s="11" t="s">
        <x:v>12</x:v>
      </x:c>
      <x:c r="N58" s="4"/>
      <x:c r="O58" s="4"/>
      <x:c r="P58" s="9"/>
      <x:c r="Q58" s="4"/>
    </x:row>
    <x:row r="59" ht="57.95000076293945" customHeight="1">
      <x:c r="A59" s="7" t="s">
        <x:v>342</x:v>
      </x:c>
      <x:c r="B59" s="4" t="s">
        <x:v>311</x:v>
      </x:c>
      <x:c r="C59" s="4" t="s">
        <x:v>343</x:v>
      </x:c>
      <x:c r="D59" s="11" t="s">
        <x:v>301</x:v>
      </x:c>
      <x:c r="E59" s="4" t="s">
        <x:v>333</x:v>
      </x:c>
      <x:c r="F59" s="4" t="s">
        <x:v>50</x:v>
      </x:c>
      <x:c r="G59" s="11" t="s">
        <x:v>9</x:v>
      </x:c>
      <x:c r="H59" s="4" t="s">
        <x:v>334</x:v>
      </x:c>
      <x:c r="I59" s="4" t="s">
        <x:v>344</x:v>
      </x:c>
      <x:c r="J59" s="4" t="s">
        <x:v>128</x:v>
      </x:c>
      <x:c r="K59" s="11">
        <x:v>200</x:v>
      </x:c>
      <x:c r="L59" s="4" t="s">
        <x:v>345</x:v>
      </x:c>
      <x:c r="M59" s="11" t="s">
        <x:v>12</x:v>
      </x:c>
      <x:c r="N59" s="4"/>
      <x:c r="O59" s="4"/>
      <x:c r="P59" s="9"/>
      <x:c r="Q59" s="4"/>
    </x:row>
    <x:row r="60" ht="57.95000076293945" customHeight="1">
      <x:c r="A60" s="7" t="s">
        <x:v>346</x:v>
      </x:c>
      <x:c r="B60" s="4" t="s">
        <x:v>311</x:v>
      </x:c>
      <x:c r="C60" s="4" t="s">
        <x:v>347</x:v>
      </x:c>
      <x:c r="D60" s="11" t="s">
        <x:v>301</x:v>
      </x:c>
      <x:c r="E60" s="4" t="s">
        <x:v>333</x:v>
      </x:c>
      <x:c r="F60" s="4" t="s">
        <x:v>109</x:v>
      </x:c>
      <x:c r="G60" s="11" t="s">
        <x:v>11</x:v>
      </x:c>
      <x:c r="H60" s="4" t="s">
        <x:v>348</x:v>
      </x:c>
      <x:c r="I60" s="4" t="s">
        <x:v>349</x:v>
      </x:c>
      <x:c r="J60" s="4" t="s">
        <x:v>128</x:v>
      </x:c>
      <x:c r="K60" s="11">
        <x:v>200</x:v>
      </x:c>
      <x:c r="L60" s="4" t="s">
        <x:v>350</x:v>
      </x:c>
      <x:c r="M60" s="11" t="s">
        <x:v>12</x:v>
      </x:c>
      <x:c r="N60" s="4"/>
      <x:c r="O60" s="4"/>
      <x:c r="P60" s="9"/>
      <x:c r="Q60" s="4"/>
    </x:row>
    <x:row r="61" ht="57.95000076293945" customHeight="1">
      <x:c r="A61" s="7" t="s">
        <x:v>351</x:v>
      </x:c>
      <x:c r="B61" s="4" t="s">
        <x:v>352</x:v>
      </x:c>
      <x:c r="C61" s="4" t="s">
        <x:v>353</x:v>
      </x:c>
      <x:c r="D61" s="11" t="s">
        <x:v>48</x:v>
      </x:c>
      <x:c r="E61" s="4" t="s">
        <x:v>354</x:v>
      </x:c>
      <x:c r="F61" s="4" t="s">
        <x:v>50</x:v>
      </x:c>
      <x:c r="G61" s="11" t="s">
        <x:v>11</x:v>
      </x:c>
      <x:c r="H61" s="4" t="s">
        <x:v>355</x:v>
      </x:c>
      <x:c r="I61" s="4" t="s">
        <x:v>356</x:v>
      </x:c>
      <x:c r="J61" s="4" t="s">
        <x:v>128</x:v>
      </x:c>
      <x:c r="K61" s="11">
        <x:v>200</x:v>
      </x:c>
      <x:c r="L61" s="4" t="s">
        <x:v>357</x:v>
      </x:c>
      <x:c r="M61" s="11" t="s">
        <x:v>12</x:v>
      </x:c>
      <x:c r="N61" s="4"/>
      <x:c r="O61" s="4"/>
      <x:c r="P61" s="9"/>
      <x:c r="Q61" s="4"/>
    </x:row>
    <x:row r="62" ht="57.95000076293945" customHeight="1">
      <x:c r="A62" s="7" t="s">
        <x:v>358</x:v>
      </x:c>
      <x:c r="B62" s="4" t="s">
        <x:v>352</x:v>
      </x:c>
      <x:c r="C62" s="4" t="s">
        <x:v>359</x:v>
      </x:c>
      <x:c r="D62" s="11" t="s">
        <x:v>64</x:v>
      </x:c>
      <x:c r="E62" s="4" t="s">
        <x:v>360</x:v>
      </x:c>
      <x:c r="F62" s="4" t="s">
        <x:v>50</x:v>
      </x:c>
      <x:c r="G62" s="11" t="s">
        <x:v>11</x:v>
      </x:c>
      <x:c r="H62" s="4" t="s">
        <x:v>262</x:v>
      </x:c>
      <x:c r="I62" s="4" t="s">
        <x:v>303</x:v>
      </x:c>
      <x:c r="J62" s="4" t="s">
        <x:v>361</x:v>
      </x:c>
      <x:c r="K62" s="11">
        <x:v>200</x:v>
      </x:c>
      <x:c r="L62" s="4" t="s">
        <x:v>362</x:v>
      </x:c>
      <x:c r="M62" s="11" t="s">
        <x:v>12</x:v>
      </x:c>
      <x:c r="N62" s="4"/>
      <x:c r="O62" s="4"/>
      <x:c r="P62" s="9"/>
      <x:c r="Q62" s="4"/>
    </x:row>
    <x:row r="63" ht="57.95000076293945" customHeight="1">
      <x:c r="A63" s="7" t="s">
        <x:v>363</x:v>
      </x:c>
      <x:c r="B63" s="4" t="s">
        <x:v>352</x:v>
      </x:c>
      <x:c r="C63" s="4" t="s">
        <x:v>364</x:v>
      </x:c>
      <x:c r="D63" s="11" t="s">
        <x:v>64</x:v>
      </x:c>
      <x:c r="E63" s="4" t="s">
        <x:v>360</x:v>
      </x:c>
      <x:c r="F63" s="4" t="s">
        <x:v>150</x:v>
      </x:c>
      <x:c r="G63" s="11" t="s">
        <x:v>13</x:v>
      </x:c>
      <x:c r="H63" s="4" t="s">
        <x:v>365</x:v>
      </x:c>
      <x:c r="I63" s="4" t="s">
        <x:v>366</x:v>
      </x:c>
      <x:c r="J63" s="4" t="s">
        <x:v>174</x:v>
      </x:c>
      <x:c r="K63" s="11">
        <x:v>200</x:v>
      </x:c>
      <x:c r="L63" s="4" t="s">
        <x:v>367</x:v>
      </x:c>
      <x:c r="M63" s="11" t="s">
        <x:v>12</x:v>
      </x:c>
      <x:c r="N63" s="4"/>
      <x:c r="O63" s="4"/>
      <x:c r="P63" s="9"/>
      <x:c r="Q63" s="4"/>
    </x:row>
    <x:row r="64" ht="57.95000076293945" customHeight="1">
      <x:c r="A64" s="7" t="s">
        <x:v>368</x:v>
      </x:c>
      <x:c r="B64" s="4" t="s">
        <x:v>352</x:v>
      </x:c>
      <x:c r="C64" s="4" t="s">
        <x:v>369</x:v>
      </x:c>
      <x:c r="D64" s="11" t="s">
        <x:v>301</x:v>
      </x:c>
      <x:c r="E64" s="4" t="s">
        <x:v>360</x:v>
      </x:c>
      <x:c r="F64" s="4" t="s">
        <x:v>50</x:v>
      </x:c>
      <x:c r="G64" s="11" t="s">
        <x:v>11</x:v>
      </x:c>
      <x:c r="H64" s="4" t="s">
        <x:v>370</x:v>
      </x:c>
      <x:c r="I64" s="4" t="s">
        <x:v>303</x:v>
      </x:c>
      <x:c r="J64" s="4" t="s">
        <x:v>128</x:v>
      </x:c>
      <x:c r="K64" s="11">
        <x:v>200</x:v>
      </x:c>
      <x:c r="L64" s="4" t="s">
        <x:v>371</x:v>
      </x:c>
      <x:c r="M64" s="11" t="s">
        <x:v>12</x:v>
      </x:c>
      <x:c r="N64" s="4"/>
      <x:c r="O64" s="4"/>
      <x:c r="P64" s="9"/>
      <x:c r="Q64" s="4"/>
    </x:row>
    <x:row r="65" ht="57.95000076293945" customHeight="1">
      <x:c r="A65" s="7" t="s">
        <x:v>372</x:v>
      </x:c>
      <x:c r="B65" s="4" t="s">
        <x:v>373</x:v>
      </x:c>
      <x:c r="C65" s="4" t="s">
        <x:v>374</x:v>
      </x:c>
      <x:c r="D65" s="11" t="s">
        <x:v>48</x:v>
      </x:c>
      <x:c r="E65" s="4" t="s">
        <x:v>375</x:v>
      </x:c>
      <x:c r="F65" s="4" t="s">
        <x:v>50</x:v>
      </x:c>
      <x:c r="G65" s="11" t="s">
        <x:v>9</x:v>
      </x:c>
      <x:c r="H65" s="4" t="s">
        <x:v>267</x:v>
      </x:c>
      <x:c r="I65" s="4" t="s">
        <x:v>356</x:v>
      </x:c>
      <x:c r="J65" s="4" t="s">
        <x:v>128</x:v>
      </x:c>
      <x:c r="K65" s="11">
        <x:v>200</x:v>
      </x:c>
      <x:c r="L65" s="4" t="s">
        <x:v>376</x:v>
      </x:c>
      <x:c r="M65" s="11" t="s">
        <x:v>12</x:v>
      </x:c>
      <x:c r="N65" s="4"/>
      <x:c r="O65" s="4"/>
      <x:c r="P65" s="9"/>
      <x:c r="Q65" s="4"/>
    </x:row>
    <x:row r="66" ht="57.95000076293945" customHeight="1">
      <x:c r="A66" s="7" t="s">
        <x:v>377</x:v>
      </x:c>
      <x:c r="B66" s="4" t="s">
        <x:v>373</x:v>
      </x:c>
      <x:c r="C66" s="4" t="s">
        <x:v>378</x:v>
      </x:c>
      <x:c r="D66" s="11" t="s">
        <x:v>64</x:v>
      </x:c>
      <x:c r="E66" s="4" t="s">
        <x:v>379</x:v>
      </x:c>
      <x:c r="F66" s="4" t="s">
        <x:v>50</x:v>
      </x:c>
      <x:c r="G66" s="11" t="s">
        <x:v>7</x:v>
      </x:c>
      <x:c r="H66" s="4" t="s">
        <x:v>380</x:v>
      </x:c>
      <x:c r="I66" s="4" t="s">
        <x:v>381</x:v>
      </x:c>
      <x:c r="J66" s="4" t="s">
        <x:v>128</x:v>
      </x:c>
      <x:c r="K66" s="11">
        <x:v>201</x:v>
      </x:c>
      <x:c r="L66" s="4" t="s">
        <x:v>382</x:v>
      </x:c>
      <x:c r="M66" s="11" t="s">
        <x:v>12</x:v>
      </x:c>
      <x:c r="N66" s="4"/>
      <x:c r="O66" s="4"/>
      <x:c r="P66" s="9"/>
      <x:c r="Q66" s="4"/>
    </x:row>
    <x:row r="67" ht="57.95000076293945" customHeight="1">
      <x:c r="A67" s="7" t="s">
        <x:v>383</x:v>
      </x:c>
      <x:c r="B67" s="4" t="s">
        <x:v>373</x:v>
      </x:c>
      <x:c r="C67" s="4" t="s">
        <x:v>384</x:v>
      </x:c>
      <x:c r="D67" s="11" t="s">
        <x:v>64</x:v>
      </x:c>
      <x:c r="E67" s="4" t="s">
        <x:v>379</x:v>
      </x:c>
      <x:c r="F67" s="4" t="s">
        <x:v>150</x:v>
      </x:c>
      <x:c r="G67" s="11" t="s">
        <x:v>9</x:v>
      </x:c>
      <x:c r="H67" s="4" t="s">
        <x:v>385</x:v>
      </x:c>
      <x:c r="I67" s="4" t="s">
        <x:v>386</x:v>
      </x:c>
      <x:c r="J67" s="4" t="s">
        <x:v>128</x:v>
      </x:c>
      <x:c r="K67" s="11">
        <x:v>201</x:v>
      </x:c>
      <x:c r="L67" s="4" t="s">
        <x:v>387</x:v>
      </x:c>
      <x:c r="M67" s="11" t="s">
        <x:v>12</x:v>
      </x:c>
      <x:c r="N67" s="4"/>
      <x:c r="O67" s="4"/>
      <x:c r="P67" s="9"/>
      <x:c r="Q67" s="4"/>
    </x:row>
    <x:row r="68" ht="57.95000076293945" customHeight="1">
      <x:c r="A68" s="7" t="s">
        <x:v>388</x:v>
      </x:c>
      <x:c r="B68" s="4" t="s">
        <x:v>373</x:v>
      </x:c>
      <x:c r="C68" s="4" t="s">
        <x:v>389</x:v>
      </x:c>
      <x:c r="D68" s="11" t="s">
        <x:v>64</x:v>
      </x:c>
      <x:c r="E68" s="4" t="s">
        <x:v>379</x:v>
      </x:c>
      <x:c r="F68" s="4" t="s">
        <x:v>77</x:v>
      </x:c>
      <x:c r="G68" s="11" t="s">
        <x:v>9</x:v>
      </x:c>
      <x:c r="H68" s="4" t="s">
        <x:v>380</x:v>
      </x:c>
      <x:c r="I68" s="4" t="s">
        <x:v>390</x:v>
      </x:c>
      <x:c r="J68" s="4" t="s">
        <x:v>391</x:v>
      </x:c>
      <x:c r="K68" s="11">
        <x:v>400</x:v>
      </x:c>
      <x:c r="L68" s="4" t="s">
        <x:v>392</x:v>
      </x:c>
      <x:c r="M68" s="11" t="s">
        <x:v>12</x:v>
      </x:c>
      <x:c r="N68" s="4"/>
      <x:c r="O68" s="4"/>
      <x:c r="P68" s="9"/>
      <x:c r="Q68" s="4"/>
    </x:row>
    <x:row r="69" ht="57.95000076293945" customHeight="1">
      <x:c r="A69" s="7" t="s">
        <x:v>393</x:v>
      </x:c>
      <x:c r="B69" s="4" t="s">
        <x:v>373</x:v>
      </x:c>
      <x:c r="C69" s="4" t="s">
        <x:v>394</x:v>
      </x:c>
      <x:c r="D69" s="11" t="s">
        <x:v>64</x:v>
      </x:c>
      <x:c r="E69" s="4" t="s">
        <x:v>379</x:v>
      </x:c>
      <x:c r="F69" s="4" t="s">
        <x:v>58</x:v>
      </x:c>
      <x:c r="G69" s="11" t="s">
        <x:v>9</x:v>
      </x:c>
      <x:c r="H69" s="4" t="s">
        <x:v>395</x:v>
      </x:c>
      <x:c r="I69" s="4" t="s">
        <x:v>303</x:v>
      </x:c>
      <x:c r="J69" s="4" t="s">
        <x:v>128</x:v>
      </x:c>
      <x:c r="K69" s="11">
        <x:v>404</x:v>
      </x:c>
      <x:c r="L69" s="4" t="s">
        <x:v>396</x:v>
      </x:c>
      <x:c r="M69" s="11" t="s">
        <x:v>12</x:v>
      </x:c>
      <x:c r="N69" s="4"/>
      <x:c r="O69" s="4"/>
      <x:c r="P69" s="9"/>
      <x:c r="Q69" s="4"/>
    </x:row>
    <x:row r="70" ht="57.95000076293945" customHeight="1">
      <x:c r="A70" s="7" t="s">
        <x:v>397</x:v>
      </x:c>
      <x:c r="B70" s="4" t="s">
        <x:v>373</x:v>
      </x:c>
      <x:c r="C70" s="4" t="s">
        <x:v>398</x:v>
      </x:c>
      <x:c r="D70" s="11" t="s">
        <x:v>214</x:v>
      </x:c>
      <x:c r="E70" s="4" t="s">
        <x:v>379</x:v>
      </x:c>
      <x:c r="F70" s="4" t="s">
        <x:v>50</x:v>
      </x:c>
      <x:c r="G70" s="11" t="s">
        <x:v>9</x:v>
      </x:c>
      <x:c r="H70" s="4" t="s">
        <x:v>399</x:v>
      </x:c>
      <x:c r="I70" s="4" t="s">
        <x:v>400</x:v>
      </x:c>
      <x:c r="J70" s="4" t="s">
        <x:v>128</x:v>
      </x:c>
      <x:c r="K70" s="11">
        <x:v>200</x:v>
      </x:c>
      <x:c r="L70" s="4" t="s">
        <x:v>401</x:v>
      </x:c>
      <x:c r="M70" s="11" t="s">
        <x:v>12</x:v>
      </x:c>
      <x:c r="N70" s="4"/>
      <x:c r="O70" s="4"/>
      <x:c r="P70" s="9"/>
      <x:c r="Q70" s="4"/>
    </x:row>
    <x:row r="71" ht="57.95000076293945" customHeight="1">
      <x:c r="A71" s="7" t="s">
        <x:v>402</x:v>
      </x:c>
      <x:c r="B71" s="4" t="s">
        <x:v>373</x:v>
      </x:c>
      <x:c r="C71" s="4" t="s">
        <x:v>403</x:v>
      </x:c>
      <x:c r="D71" s="11" t="s">
        <x:v>214</x:v>
      </x:c>
      <x:c r="E71" s="4" t="s">
        <x:v>379</x:v>
      </x:c>
      <x:c r="F71" s="4" t="s">
        <x:v>58</x:v>
      </x:c>
      <x:c r="G71" s="11" t="s">
        <x:v>11</x:v>
      </x:c>
      <x:c r="H71" s="4" t="s">
        <x:v>404</x:v>
      </x:c>
      <x:c r="I71" s="4" t="s">
        <x:v>381</x:v>
      </x:c>
      <x:c r="J71" s="4" t="s">
        <x:v>128</x:v>
      </x:c>
      <x:c r="K71" s="11">
        <x:v>404</x:v>
      </x:c>
      <x:c r="L71" s="4" t="s">
        <x:v>405</x:v>
      </x:c>
      <x:c r="M71" s="11" t="s">
        <x:v>12</x:v>
      </x:c>
      <x:c r="N71" s="4"/>
      <x:c r="O71" s="4"/>
      <x:c r="P71" s="9"/>
      <x:c r="Q71" s="4"/>
    </x:row>
    <x:row r="72" ht="57.95000076293945" customHeight="1">
      <x:c r="A72" s="7" t="s">
        <x:v>406</x:v>
      </x:c>
      <x:c r="B72" s="4" t="s">
        <x:v>373</x:v>
      </x:c>
      <x:c r="C72" s="4" t="s">
        <x:v>407</x:v>
      </x:c>
      <x:c r="D72" s="11" t="s">
        <x:v>301</x:v>
      </x:c>
      <x:c r="E72" s="4" t="s">
        <x:v>379</x:v>
      </x:c>
      <x:c r="F72" s="4" t="s">
        <x:v>50</x:v>
      </x:c>
      <x:c r="G72" s="11" t="s">
        <x:v>9</x:v>
      </x:c>
      <x:c r="H72" s="4" t="s">
        <x:v>399</x:v>
      </x:c>
      <x:c r="I72" s="4" t="s">
        <x:v>303</x:v>
      </x:c>
      <x:c r="J72" s="4" t="s">
        <x:v>128</x:v>
      </x:c>
      <x:c r="K72" s="11">
        <x:v>200</x:v>
      </x:c>
      <x:c r="L72" s="4" t="s">
        <x:v>408</x:v>
      </x:c>
      <x:c r="M72" s="11" t="s">
        <x:v>12</x:v>
      </x:c>
      <x:c r="N72" s="4"/>
      <x:c r="O72" s="4"/>
      <x:c r="P72" s="9"/>
      <x:c r="Q72" s="4"/>
    </x:row>
    <x:row r="73" ht="57.95000076293945" customHeight="1">
      <x:c r="A73" s="7" t="s">
        <x:v>409</x:v>
      </x:c>
      <x:c r="B73" s="4" t="s">
        <x:v>373</x:v>
      </x:c>
      <x:c r="C73" s="4" t="s">
        <x:v>410</x:v>
      </x:c>
      <x:c r="D73" s="11" t="s">
        <x:v>301</x:v>
      </x:c>
      <x:c r="E73" s="4" t="s">
        <x:v>375</x:v>
      </x:c>
      <x:c r="F73" s="4" t="s">
        <x:v>50</x:v>
      </x:c>
      <x:c r="G73" s="11" t="s">
        <x:v>9</x:v>
      </x:c>
      <x:c r="H73" s="4" t="s">
        <x:v>411</x:v>
      </x:c>
      <x:c r="I73" s="4" t="s">
        <x:v>52</x:v>
      </x:c>
      <x:c r="J73" s="4" t="s">
        <x:v>412</x:v>
      </x:c>
      <x:c r="K73" s="11">
        <x:v>200</x:v>
      </x:c>
      <x:c r="L73" s="4" t="s">
        <x:v>413</x:v>
      </x:c>
      <x:c r="M73" s="11" t="s">
        <x:v>12</x:v>
      </x:c>
      <x:c r="N73" s="4"/>
      <x:c r="O73" s="4"/>
      <x:c r="P73" s="9"/>
      <x:c r="Q73" s="4"/>
    </x:row>
    <x:row r="74" ht="78" hidden="0" customHeight="1">
      <x:c r="A74" s="7" t="s">
        <x:v>414</x:v>
      </x:c>
      <x:c r="B74" s="4" t="s">
        <x:v>415</x:v>
      </x:c>
      <x:c r="C74" s="4" t="s">
        <x:v>416</x:v>
      </x:c>
      <x:c r="D74" s="11" t="s">
        <x:v>64</x:v>
      </x:c>
      <x:c r="E74" s="4" t="s">
        <x:v>417</x:v>
      </x:c>
      <x:c r="F74" s="4" t="s">
        <x:v>50</x:v>
      </x:c>
      <x:c r="G74" s="11" t="s">
        <x:v>7</x:v>
      </x:c>
      <x:c r="H74" s="4" t="s">
        <x:v>418</x:v>
      </x:c>
      <x:c r="I74" s="4" t="s">
        <x:v>419</x:v>
      </x:c>
      <x:c r="J74" s="4" t="s">
        <x:v>420</x:v>
      </x:c>
      <x:c r="K74" s="11">
        <x:v>201</x:v>
      </x:c>
      <x:c r="L74" s="4" t="s">
        <x:v>421</x:v>
      </x:c>
      <x:c r="M74" s="11" t="s">
        <x:v>12</x:v>
      </x:c>
      <x:c r="N74" s="4"/>
      <x:c r="O74" s="4"/>
      <x:c r="P74" s="9"/>
      <x:c r="Q74" s="4" t="str">
        <x:v>Checkout hiện tại cần deliveryMethod=pickup hoặc quote giao hàng hợp lệ. Bổ sung tiền điều kiện này khi chạy lại; không coi Passed cũ là kết quả đã chạy mới.</x:v>
      </x:c>
    </x:row>
    <x:row r="75" ht="66" hidden="0" customHeight="1">
      <x:c r="A75" s="7" t="s">
        <x:v>422</x:v>
      </x:c>
      <x:c r="B75" s="4" t="s">
        <x:v>415</x:v>
      </x:c>
      <x:c r="C75" s="4" t="s">
        <x:v>423</x:v>
      </x:c>
      <x:c r="D75" s="11" t="s">
        <x:v>64</x:v>
      </x:c>
      <x:c r="E75" s="4" t="s">
        <x:v>417</x:v>
      </x:c>
      <x:c r="F75" s="4" t="s">
        <x:v>50</x:v>
      </x:c>
      <x:c r="G75" s="11" t="s">
        <x:v>7</x:v>
      </x:c>
      <x:c r="H75" s="4" t="s">
        <x:v>424</x:v>
      </x:c>
      <x:c r="I75" s="4" t="s">
        <x:v>425</x:v>
      </x:c>
      <x:c r="J75" s="4" t="s">
        <x:v>128</x:v>
      </x:c>
      <x:c r="K75" s="11">
        <x:v>201</x:v>
      </x:c>
      <x:c r="L75" s="4" t="s">
        <x:v>426</x:v>
      </x:c>
      <x:c r="M75" s="11" t="s">
        <x:v>12</x:v>
      </x:c>
      <x:c r="N75" s="4"/>
      <x:c r="O75" s="4"/>
      <x:c r="P75" s="9"/>
      <x:c r="Q75" s="4" t="str">
        <x:v>Checkout hiện tại cần deliveryMethod=pickup hoặc quote giao hàng hợp lệ. Kết quả cũ giữ theo lịch sử, chưa chạy lại.</x:v>
      </x:c>
    </x:row>
    <x:row r="76" ht="66" hidden="0" customHeight="1">
      <x:c r="A76" s="7" t="s">
        <x:v>427</x:v>
      </x:c>
      <x:c r="B76" s="4" t="s">
        <x:v>415</x:v>
      </x:c>
      <x:c r="C76" s="4" t="s">
        <x:v>428</x:v>
      </x:c>
      <x:c r="D76" s="11" t="s">
        <x:v>64</x:v>
      </x:c>
      <x:c r="E76" s="4" t="s">
        <x:v>417</x:v>
      </x:c>
      <x:c r="F76" s="4" t="s">
        <x:v>50</x:v>
      </x:c>
      <x:c r="G76" s="11" t="s">
        <x:v>7</x:v>
      </x:c>
      <x:c r="H76" s="4" t="s">
        <x:v>429</x:v>
      </x:c>
      <x:c r="I76" s="4" t="s">
        <x:v>430</x:v>
      </x:c>
      <x:c r="J76" s="4" t="s">
        <x:v>128</x:v>
      </x:c>
      <x:c r="K76" s="11">
        <x:v>201</x:v>
      </x:c>
      <x:c r="L76" s="4" t="s">
        <x:v>431</x:v>
      </x:c>
      <x:c r="M76" s="11" t="s">
        <x:v>12</x:v>
      </x:c>
      <x:c r="N76" s="4"/>
      <x:c r="O76" s="4"/>
      <x:c r="P76" s="9"/>
      <x:c r="Q76" s="4" t="str">
        <x:v>Checkout hiện tại cần deliveryMethod=pickup hoặc quote giao hàng hợp lệ. Kết quả cũ giữ theo lịch sử, chưa chạy lại.</x:v>
      </x:c>
    </x:row>
    <x:row r="77" ht="57.95000076293945" customHeight="1">
      <x:c r="A77" s="7" t="s">
        <x:v>432</x:v>
      </x:c>
      <x:c r="B77" s="4" t="s">
        <x:v>415</x:v>
      </x:c>
      <x:c r="C77" s="4" t="s">
        <x:v>433</x:v>
      </x:c>
      <x:c r="D77" s="11" t="s">
        <x:v>64</x:v>
      </x:c>
      <x:c r="E77" s="4" t="s">
        <x:v>417</x:v>
      </x:c>
      <x:c r="F77" s="4" t="s">
        <x:v>58</x:v>
      </x:c>
      <x:c r="G77" s="11" t="s">
        <x:v>9</x:v>
      </x:c>
      <x:c r="H77" s="4" t="s">
        <x:v>434</x:v>
      </x:c>
      <x:c r="I77" s="4" t="s">
        <x:v>435</x:v>
      </x:c>
      <x:c r="J77" s="4" t="s">
        <x:v>128</x:v>
      </x:c>
      <x:c r="K77" s="11">
        <x:v>400</x:v>
      </x:c>
      <x:c r="L77" s="4" t="s">
        <x:v>436</x:v>
      </x:c>
      <x:c r="M77" s="11" t="s">
        <x:v>12</x:v>
      </x:c>
      <x:c r="N77" s="4"/>
      <x:c r="O77" s="4"/>
      <x:c r="P77" s="9"/>
      <x:c r="Q77" s="4"/>
    </x:row>
    <x:row r="78" ht="57.95000076293945" customHeight="1">
      <x:c r="A78" s="7" t="s">
        <x:v>437</x:v>
      </x:c>
      <x:c r="B78" s="4" t="s">
        <x:v>415</x:v>
      </x:c>
      <x:c r="C78" s="4" t="s">
        <x:v>438</x:v>
      </x:c>
      <x:c r="D78" s="11" t="s">
        <x:v>64</x:v>
      </x:c>
      <x:c r="E78" s="4" t="s">
        <x:v>417</x:v>
      </x:c>
      <x:c r="F78" s="4" t="s">
        <x:v>150</x:v>
      </x:c>
      <x:c r="G78" s="11" t="s">
        <x:v>7</x:v>
      </x:c>
      <x:c r="H78" s="4" t="s">
        <x:v>439</x:v>
      </x:c>
      <x:c r="I78" s="4" t="s">
        <x:v>440</x:v>
      </x:c>
      <x:c r="J78" s="4" t="s">
        <x:v>128</x:v>
      </x:c>
      <x:c r="K78" s="11">
        <x:v>400</x:v>
      </x:c>
      <x:c r="L78" s="4" t="s">
        <x:v>441</x:v>
      </x:c>
      <x:c r="M78" s="11" t="s">
        <x:v>12</x:v>
      </x:c>
      <x:c r="N78" s="4"/>
      <x:c r="O78" s="4"/>
      <x:c r="P78" s="9"/>
      <x:c r="Q78" s="4"/>
    </x:row>
    <x:row r="79" ht="57.95000076293945" customHeight="1">
      <x:c r="A79" s="7" t="s">
        <x:v>442</x:v>
      </x:c>
      <x:c r="B79" s="4" t="s">
        <x:v>415</x:v>
      </x:c>
      <x:c r="C79" s="4" t="s">
        <x:v>443</x:v>
      </x:c>
      <x:c r="D79" s="11" t="s">
        <x:v>64</x:v>
      </x:c>
      <x:c r="E79" s="4" t="s">
        <x:v>417</x:v>
      </x:c>
      <x:c r="F79" s="4" t="s">
        <x:v>77</x:v>
      </x:c>
      <x:c r="G79" s="11" t="s">
        <x:v>9</x:v>
      </x:c>
      <x:c r="H79" s="4" t="s">
        <x:v>267</x:v>
      </x:c>
      <x:c r="I79" s="4" t="s">
        <x:v>444</x:v>
      </x:c>
      <x:c r="J79" s="4" t="s">
        <x:v>128</x:v>
      </x:c>
      <x:c r="K79" s="11">
        <x:v>400</x:v>
      </x:c>
      <x:c r="L79" s="4" t="s">
        <x:v>445</x:v>
      </x:c>
      <x:c r="M79" s="11" t="s">
        <x:v>12</x:v>
      </x:c>
      <x:c r="N79" s="4"/>
      <x:c r="O79" s="4"/>
      <x:c r="P79" s="9"/>
      <x:c r="Q79" s="4"/>
    </x:row>
    <x:row r="80" ht="57.95000076293945" customHeight="1">
      <x:c r="A80" s="7" t="s">
        <x:v>446</x:v>
      </x:c>
      <x:c r="B80" s="4" t="s">
        <x:v>415</x:v>
      </x:c>
      <x:c r="C80" s="4" t="s">
        <x:v>447</x:v>
      </x:c>
      <x:c r="D80" s="11" t="s">
        <x:v>64</x:v>
      </x:c>
      <x:c r="E80" s="4" t="s">
        <x:v>417</x:v>
      </x:c>
      <x:c r="F80" s="4" t="s">
        <x:v>77</x:v>
      </x:c>
      <x:c r="G80" s="11" t="s">
        <x:v>9</x:v>
      </x:c>
      <x:c r="H80" s="4" t="s">
        <x:v>448</x:v>
      </x:c>
      <x:c r="I80" s="4" t="s">
        <x:v>449</x:v>
      </x:c>
      <x:c r="J80" s="4" t="s">
        <x:v>128</x:v>
      </x:c>
      <x:c r="K80" s="11">
        <x:v>400</x:v>
      </x:c>
      <x:c r="L80" s="4" t="s">
        <x:v>450</x:v>
      </x:c>
      <x:c r="M80" s="11" t="s">
        <x:v>12</x:v>
      </x:c>
      <x:c r="N80" s="4"/>
      <x:c r="O80" s="4"/>
      <x:c r="P80" s="9"/>
      <x:c r="Q80" s="4"/>
    </x:row>
    <x:row r="81" ht="57.95000076293945" customHeight="1">
      <x:c r="A81" s="7" t="s">
        <x:v>451</x:v>
      </x:c>
      <x:c r="B81" s="4" t="s">
        <x:v>415</x:v>
      </x:c>
      <x:c r="C81" s="4" t="s">
        <x:v>452</x:v>
      </x:c>
      <x:c r="D81" s="11" t="s">
        <x:v>64</x:v>
      </x:c>
      <x:c r="E81" s="4" t="s">
        <x:v>417</x:v>
      </x:c>
      <x:c r="F81" s="4" t="s">
        <x:v>109</x:v>
      </x:c>
      <x:c r="G81" s="11" t="s">
        <x:v>7</x:v>
      </x:c>
      <x:c r="H81" s="4" t="s">
        <x:v>448</x:v>
      </x:c>
      <x:c r="I81" s="4" t="s">
        <x:v>453</x:v>
      </x:c>
      <x:c r="J81" s="4" t="s">
        <x:v>128</x:v>
      </x:c>
      <x:c r="K81" s="11">
        <x:v>201</x:v>
      </x:c>
      <x:c r="L81" s="4" t="s">
        <x:v>454</x:v>
      </x:c>
      <x:c r="M81" s="11" t="s">
        <x:v>12</x:v>
      </x:c>
      <x:c r="N81" s="4"/>
      <x:c r="O81" s="4"/>
      <x:c r="P81" s="9"/>
      <x:c r="Q81" s="4"/>
    </x:row>
    <x:row r="82" ht="57.95000076293945" customHeight="1">
      <x:c r="A82" s="7" t="s">
        <x:v>455</x:v>
      </x:c>
      <x:c r="B82" s="4" t="s">
        <x:v>415</x:v>
      </x:c>
      <x:c r="C82" s="4" t="s">
        <x:v>456</x:v>
      </x:c>
      <x:c r="D82" s="11" t="s">
        <x:v>48</x:v>
      </x:c>
      <x:c r="E82" s="4" t="s">
        <x:v>457</x:v>
      </x:c>
      <x:c r="F82" s="4" t="s">
        <x:v>50</x:v>
      </x:c>
      <x:c r="G82" s="11" t="s">
        <x:v>9</x:v>
      </x:c>
      <x:c r="H82" s="4" t="s">
        <x:v>458</x:v>
      </x:c>
      <x:c r="I82" s="4" t="s">
        <x:v>356</x:v>
      </x:c>
      <x:c r="J82" s="4" t="s">
        <x:v>128</x:v>
      </x:c>
      <x:c r="K82" s="11">
        <x:v>200</x:v>
      </x:c>
      <x:c r="L82" s="4" t="s">
        <x:v>459</x:v>
      </x:c>
      <x:c r="M82" s="11" t="s">
        <x:v>12</x:v>
      </x:c>
      <x:c r="N82" s="4"/>
      <x:c r="O82" s="4"/>
      <x:c r="P82" s="9"/>
      <x:c r="Q82" s="4"/>
    </x:row>
    <x:row r="83" ht="57.95000076293945" customHeight="1">
      <x:c r="A83" s="7" t="s">
        <x:v>460</x:v>
      </x:c>
      <x:c r="B83" s="4" t="s">
        <x:v>415</x:v>
      </x:c>
      <x:c r="C83" s="4" t="s">
        <x:v>461</x:v>
      </x:c>
      <x:c r="D83" s="11" t="s">
        <x:v>48</x:v>
      </x:c>
      <x:c r="E83" s="4" t="s">
        <x:v>462</x:v>
      </x:c>
      <x:c r="F83" s="4" t="s">
        <x:v>109</x:v>
      </x:c>
      <x:c r="G83" s="11" t="s">
        <x:v>7</x:v>
      </x:c>
      <x:c r="H83" s="4" t="s">
        <x:v>463</x:v>
      </x:c>
      <x:c r="I83" s="4" t="s">
        <x:v>464</x:v>
      </x:c>
      <x:c r="J83" s="4" t="s">
        <x:v>128</x:v>
      </x:c>
      <x:c r="K83" s="11">
        <x:v>404</x:v>
      </x:c>
      <x:c r="L83" s="4" t="s">
        <x:v>465</x:v>
      </x:c>
      <x:c r="M83" s="11" t="s">
        <x:v>12</x:v>
      </x:c>
      <x:c r="N83" s="4"/>
      <x:c r="O83" s="4"/>
      <x:c r="P83" s="9"/>
      <x:c r="Q83" s="4"/>
    </x:row>
    <x:row r="84" ht="66" hidden="0" customHeight="1">
      <x:c r="A84" s="7" t="s">
        <x:v>466</x:v>
      </x:c>
      <x:c r="B84" s="4" t="s">
        <x:v>415</x:v>
      </x:c>
      <x:c r="C84" s="4" t="s">
        <x:v>467</x:v>
      </x:c>
      <x:c r="D84" s="11" t="s">
        <x:v>214</x:v>
      </x:c>
      <x:c r="E84" s="4" t="s">
        <x:v>468</x:v>
      </x:c>
      <x:c r="F84" s="4" t="s">
        <x:v>50</x:v>
      </x:c>
      <x:c r="G84" s="11" t="s">
        <x:v>7</x:v>
      </x:c>
      <x:c r="H84" s="4" t="s">
        <x:v>469</x:v>
      </x:c>
      <x:c r="I84" s="4" t="s">
        <x:v>470</x:v>
      </x:c>
      <x:c r="J84" s="4" t="s">
        <x:v>471</x:v>
      </x:c>
      <x:c r="K84" s="11">
        <x:v>200</x:v>
      </x:c>
      <x:c r="L84" s="4" t="s">
        <x:v>472</x:v>
      </x:c>
      <x:c r="M84" s="11" t="s">
        <x:v>12</x:v>
      </x:c>
      <x:c r="N84" s="4"/>
      <x:c r="O84" s="4"/>
      <x:c r="P84" s="9"/>
      <x:c r="Q84" s="4" t="str">
        <x:v>Chỉ áp dụng cho đơn đủ điều kiện huỷ; online có giao dịch đang xác minh/đã Paid cần đối soát và không huỷ thường. Kết quả cũ chưa chạy lại.</x:v>
      </x:c>
    </x:row>
    <x:row r="85" ht="57.95000076293945" customHeight="1">
      <x:c r="A85" s="7" t="s">
        <x:v>473</x:v>
      </x:c>
      <x:c r="B85" s="4" t="s">
        <x:v>415</x:v>
      </x:c>
      <x:c r="C85" s="4" t="s">
        <x:v>474</x:v>
      </x:c>
      <x:c r="D85" s="11" t="s">
        <x:v>214</x:v>
      </x:c>
      <x:c r="E85" s="4" t="s">
        <x:v>468</x:v>
      </x:c>
      <x:c r="F85" s="4" t="s">
        <x:v>58</x:v>
      </x:c>
      <x:c r="G85" s="11" t="s">
        <x:v>9</x:v>
      </x:c>
      <x:c r="H85" s="4" t="s">
        <x:v>475</x:v>
      </x:c>
      <x:c r="I85" s="4" t="s">
        <x:v>470</x:v>
      </x:c>
      <x:c r="J85" s="4" t="s">
        <x:v>128</x:v>
      </x:c>
      <x:c r="K85" s="11">
        <x:v>400</x:v>
      </x:c>
      <x:c r="L85" s="4" t="s">
        <x:v>476</x:v>
      </x:c>
      <x:c r="M85" s="11" t="s">
        <x:v>12</x:v>
      </x:c>
      <x:c r="N85" s="4"/>
      <x:c r="O85" s="4"/>
      <x:c r="P85" s="9"/>
      <x:c r="Q85" s="4"/>
    </x:row>
    <x:row r="86" ht="57.95000076293945" customHeight="1">
      <x:c r="A86" s="7" t="s">
        <x:v>477</x:v>
      </x:c>
      <x:c r="B86" s="4" t="s">
        <x:v>478</x:v>
      </x:c>
      <x:c r="C86" s="4" t="s">
        <x:v>479</x:v>
      </x:c>
      <x:c r="D86" s="11" t="s">
        <x:v>64</x:v>
      </x:c>
      <x:c r="E86" s="4" t="s">
        <x:v>480</x:v>
      </x:c>
      <x:c r="F86" s="4" t="s">
        <x:v>50</x:v>
      </x:c>
      <x:c r="G86" s="11" t="s">
        <x:v>9</x:v>
      </x:c>
      <x:c r="H86" s="4" t="s">
        <x:v>481</x:v>
      </x:c>
      <x:c r="I86" s="4" t="s">
        <x:v>482</x:v>
      </x:c>
      <x:c r="J86" s="4" t="s">
        <x:v>128</x:v>
      </x:c>
      <x:c r="K86" s="11">
        <x:v>201</x:v>
      </x:c>
      <x:c r="L86" s="4" t="s">
        <x:v>483</x:v>
      </x:c>
      <x:c r="M86" s="11" t="s">
        <x:v>12</x:v>
      </x:c>
      <x:c r="N86" s="4"/>
      <x:c r="O86" s="4"/>
      <x:c r="P86" s="9"/>
      <x:c r="Q86" s="4"/>
    </x:row>
    <x:row r="87" ht="57.95000076293945" customHeight="1">
      <x:c r="A87" s="7" t="s">
        <x:v>484</x:v>
      </x:c>
      <x:c r="B87" s="4" t="s">
        <x:v>478</x:v>
      </x:c>
      <x:c r="C87" s="4" t="s">
        <x:v>485</x:v>
      </x:c>
      <x:c r="D87" s="11" t="s">
        <x:v>64</x:v>
      </x:c>
      <x:c r="E87" s="4" t="s">
        <x:v>480</x:v>
      </x:c>
      <x:c r="F87" s="4" t="s">
        <x:v>50</x:v>
      </x:c>
      <x:c r="G87" s="11" t="s">
        <x:v>9</x:v>
      </x:c>
      <x:c r="H87" s="4" t="s">
        <x:v>52</x:v>
      </x:c>
      <x:c r="I87" s="4" t="s">
        <x:v>486</x:v>
      </x:c>
      <x:c r="J87" s="4" t="s">
        <x:v>128</x:v>
      </x:c>
      <x:c r="K87" s="11">
        <x:v>201</x:v>
      </x:c>
      <x:c r="L87" s="4" t="s">
        <x:v>487</x:v>
      </x:c>
      <x:c r="M87" s="11" t="s">
        <x:v>12</x:v>
      </x:c>
      <x:c r="N87" s="4"/>
      <x:c r="O87" s="4"/>
      <x:c r="P87" s="9"/>
      <x:c r="Q87" s="4"/>
    </x:row>
    <x:row r="88" ht="57.95000076293945" customHeight="1">
      <x:c r="A88" s="7" t="s">
        <x:v>488</x:v>
      </x:c>
      <x:c r="B88" s="4" t="s">
        <x:v>478</x:v>
      </x:c>
      <x:c r="C88" s="4" t="s">
        <x:v>489</x:v>
      </x:c>
      <x:c r="D88" s="11" t="s">
        <x:v>64</x:v>
      </x:c>
      <x:c r="E88" s="4" t="s">
        <x:v>480</x:v>
      </x:c>
      <x:c r="F88" s="4" t="s">
        <x:v>77</x:v>
      </x:c>
      <x:c r="G88" s="11" t="s">
        <x:v>9</x:v>
      </x:c>
      <x:c r="H88" s="4" t="s">
        <x:v>52</x:v>
      </x:c>
      <x:c r="I88" s="4" t="s">
        <x:v>490</x:v>
      </x:c>
      <x:c r="J88" s="4" t="s">
        <x:v>491</x:v>
      </x:c>
      <x:c r="K88" s="11">
        <x:v>400</x:v>
      </x:c>
      <x:c r="L88" s="4" t="s">
        <x:v>492</x:v>
      </x:c>
      <x:c r="M88" s="11" t="s">
        <x:v>12</x:v>
      </x:c>
      <x:c r="N88" s="4"/>
      <x:c r="O88" s="4"/>
      <x:c r="P88" s="9"/>
      <x:c r="Q88" s="4"/>
    </x:row>
    <x:row r="89" ht="57.95000076293945" customHeight="1">
      <x:c r="A89" s="7" t="s">
        <x:v>493</x:v>
      </x:c>
      <x:c r="B89" s="4" t="s">
        <x:v>478</x:v>
      </x:c>
      <x:c r="C89" s="4" t="s">
        <x:v>494</x:v>
      </x:c>
      <x:c r="D89" s="11" t="s">
        <x:v>64</x:v>
      </x:c>
      <x:c r="E89" s="4" t="s">
        <x:v>480</x:v>
      </x:c>
      <x:c r="F89" s="4" t="s">
        <x:v>77</x:v>
      </x:c>
      <x:c r="G89" s="11" t="s">
        <x:v>9</x:v>
      </x:c>
      <x:c r="H89" s="4" t="s">
        <x:v>52</x:v>
      </x:c>
      <x:c r="I89" s="4" t="s">
        <x:v>495</x:v>
      </x:c>
      <x:c r="J89" s="4" t="s">
        <x:v>128</x:v>
      </x:c>
      <x:c r="K89" s="11">
        <x:v>400</x:v>
      </x:c>
      <x:c r="L89" s="4" t="s">
        <x:v>496</x:v>
      </x:c>
      <x:c r="M89" s="11" t="s">
        <x:v>12</x:v>
      </x:c>
      <x:c r="N89" s="4"/>
      <x:c r="O89" s="4"/>
      <x:c r="P89" s="9"/>
      <x:c r="Q89" s="4"/>
    </x:row>
    <x:row r="90" ht="57.95000076293945" customHeight="1">
      <x:c r="A90" s="7" t="s">
        <x:v>497</x:v>
      </x:c>
      <x:c r="B90" s="4" t="s">
        <x:v>478</x:v>
      </x:c>
      <x:c r="C90" s="4" t="s">
        <x:v>498</x:v>
      </x:c>
      <x:c r="D90" s="11" t="s">
        <x:v>48</x:v>
      </x:c>
      <x:c r="E90" s="4" t="s">
        <x:v>499</x:v>
      </x:c>
      <x:c r="F90" s="4" t="s">
        <x:v>50</x:v>
      </x:c>
      <x:c r="G90" s="11" t="s">
        <x:v>9</x:v>
      </x:c>
      <x:c r="H90" s="4" t="s">
        <x:v>277</x:v>
      </x:c>
      <x:c r="I90" s="4" t="s">
        <x:v>500</x:v>
      </x:c>
      <x:c r="J90" s="4" t="s">
        <x:v>128</x:v>
      </x:c>
      <x:c r="K90" s="11">
        <x:v>200</x:v>
      </x:c>
      <x:c r="L90" s="4" t="s">
        <x:v>501</x:v>
      </x:c>
      <x:c r="M90" s="11" t="s">
        <x:v>12</x:v>
      </x:c>
      <x:c r="N90" s="4"/>
      <x:c r="O90" s="4"/>
      <x:c r="P90" s="9"/>
      <x:c r="Q90" s="4"/>
    </x:row>
    <x:row r="91" ht="57.95000076293945" customHeight="1">
      <x:c r="A91" s="7" t="s">
        <x:v>502</x:v>
      </x:c>
      <x:c r="B91" s="4" t="s">
        <x:v>478</x:v>
      </x:c>
      <x:c r="C91" s="4" t="s">
        <x:v>503</x:v>
      </x:c>
      <x:c r="D91" s="11" t="s">
        <x:v>48</x:v>
      </x:c>
      <x:c r="E91" s="4" t="s">
        <x:v>480</x:v>
      </x:c>
      <x:c r="F91" s="4" t="s">
        <x:v>109</x:v>
      </x:c>
      <x:c r="G91" s="11" t="s">
        <x:v>7</x:v>
      </x:c>
      <x:c r="H91" s="4" t="s">
        <x:v>290</x:v>
      </x:c>
      <x:c r="I91" s="4" t="s">
        <x:v>356</x:v>
      </x:c>
      <x:c r="J91" s="4" t="s">
        <x:v>128</x:v>
      </x:c>
      <x:c r="K91" s="11">
        <x:v>403</x:v>
      </x:c>
      <x:c r="L91" s="4" t="s">
        <x:v>504</x:v>
      </x:c>
      <x:c r="M91" s="11" t="s">
        <x:v>12</x:v>
      </x:c>
      <x:c r="N91" s="4"/>
      <x:c r="O91" s="4"/>
      <x:c r="P91" s="9"/>
      <x:c r="Q91" s="4"/>
    </x:row>
    <x:row r="92" ht="57.95000076293945" customHeight="1">
      <x:c r="A92" s="7" t="s">
        <x:v>505</x:v>
      </x:c>
      <x:c r="B92" s="4" t="s">
        <x:v>478</x:v>
      </x:c>
      <x:c r="C92" s="4" t="s">
        <x:v>506</x:v>
      </x:c>
      <x:c r="D92" s="11" t="s">
        <x:v>214</x:v>
      </x:c>
      <x:c r="E92" s="4" t="s">
        <x:v>507</x:v>
      </x:c>
      <x:c r="F92" s="4" t="s">
        <x:v>50</x:v>
      </x:c>
      <x:c r="G92" s="11" t="s">
        <x:v>9</x:v>
      </x:c>
      <x:c r="H92" s="4" t="s">
        <x:v>508</x:v>
      </x:c>
      <x:c r="I92" s="4" t="s">
        <x:v>509</x:v>
      </x:c>
      <x:c r="J92" s="4" t="s">
        <x:v>128</x:v>
      </x:c>
      <x:c r="K92" s="11">
        <x:v>200</x:v>
      </x:c>
      <x:c r="L92" s="4" t="s">
        <x:v>510</x:v>
      </x:c>
      <x:c r="M92" s="11" t="s">
        <x:v>12</x:v>
      </x:c>
      <x:c r="N92" s="4"/>
      <x:c r="O92" s="4"/>
      <x:c r="P92" s="9"/>
      <x:c r="Q92" s="4"/>
    </x:row>
    <x:row r="93" ht="57.95000076293945" customHeight="1">
      <x:c r="A93" s="7" t="s">
        <x:v>511</x:v>
      </x:c>
      <x:c r="B93" s="4" t="s">
        <x:v>478</x:v>
      </x:c>
      <x:c r="C93" s="4" t="s">
        <x:v>512</x:v>
      </x:c>
      <x:c r="D93" s="11" t="s">
        <x:v>214</x:v>
      </x:c>
      <x:c r="E93" s="4" t="s">
        <x:v>507</x:v>
      </x:c>
      <x:c r="F93" s="4" t="s">
        <x:v>77</x:v>
      </x:c>
      <x:c r="G93" s="11" t="s">
        <x:v>11</x:v>
      </x:c>
      <x:c r="H93" s="4" t="s">
        <x:v>277</x:v>
      </x:c>
      <x:c r="I93" s="4" t="s">
        <x:v>513</x:v>
      </x:c>
      <x:c r="J93" s="4" t="s">
        <x:v>128</x:v>
      </x:c>
      <x:c r="K93" s="11">
        <x:v>400</x:v>
      </x:c>
      <x:c r="L93" s="4" t="s">
        <x:v>514</x:v>
      </x:c>
      <x:c r="M93" s="11" t="s">
        <x:v>12</x:v>
      </x:c>
      <x:c r="N93" s="4"/>
      <x:c r="O93" s="4"/>
      <x:c r="P93" s="9"/>
      <x:c r="Q93" s="4"/>
    </x:row>
    <x:row r="94" ht="57.95000076293945" customHeight="1">
      <x:c r="A94" s="7" t="s">
        <x:v>515</x:v>
      </x:c>
      <x:c r="B94" s="4" t="s">
        <x:v>478</x:v>
      </x:c>
      <x:c r="C94" s="4" t="s">
        <x:v>516</x:v>
      </x:c>
      <x:c r="D94" s="11" t="s">
        <x:v>64</x:v>
      </x:c>
      <x:c r="E94" s="4" t="s">
        <x:v>480</x:v>
      </x:c>
      <x:c r="F94" s="4" t="s">
        <x:v>109</x:v>
      </x:c>
      <x:c r="G94" s="11" t="s">
        <x:v>9</x:v>
      </x:c>
      <x:c r="H94" s="4" t="s">
        <x:v>52</x:v>
      </x:c>
      <x:c r="I94" s="4" t="s">
        <x:v>517</x:v>
      </x:c>
      <x:c r="J94" s="4" t="s">
        <x:v>518</x:v>
      </x:c>
      <x:c r="K94" s="11">
        <x:v>201</x:v>
      </x:c>
      <x:c r="L94" s="4" t="s">
        <x:v>519</x:v>
      </x:c>
      <x:c r="M94" s="11" t="s">
        <x:v>12</x:v>
      </x:c>
      <x:c r="N94" s="4"/>
      <x:c r="O94" s="4"/>
      <x:c r="P94" s="9"/>
      <x:c r="Q94" s="4"/>
    </x:row>
    <x:row r="95" ht="57.95000076293945" customHeight="1">
      <x:c r="A95" s="7" t="s">
        <x:v>520</x:v>
      </x:c>
      <x:c r="B95" s="4" t="s">
        <x:v>521</x:v>
      </x:c>
      <x:c r="C95" s="4" t="s">
        <x:v>522</x:v>
      </x:c>
      <x:c r="D95" s="11" t="s">
        <x:v>64</x:v>
      </x:c>
      <x:c r="E95" s="4" t="s">
        <x:v>523</x:v>
      </x:c>
      <x:c r="F95" s="4" t="s">
        <x:v>50</x:v>
      </x:c>
      <x:c r="G95" s="11" t="s">
        <x:v>9</x:v>
      </x:c>
      <x:c r="H95" s="4" t="s">
        <x:v>481</x:v>
      </x:c>
      <x:c r="I95" s="4" t="s">
        <x:v>524</x:v>
      </x:c>
      <x:c r="J95" s="4" t="s">
        <x:v>128</x:v>
      </x:c>
      <x:c r="K95" s="11">
        <x:v>201</x:v>
      </x:c>
      <x:c r="L95" s="4" t="s">
        <x:v>525</x:v>
      </x:c>
      <x:c r="M95" s="11" t="s">
        <x:v>12</x:v>
      </x:c>
      <x:c r="N95" s="4"/>
      <x:c r="O95" s="4"/>
      <x:c r="P95" s="9"/>
      <x:c r="Q95" s="4"/>
    </x:row>
    <x:row r="96" ht="57.95000076293945" customHeight="1">
      <x:c r="A96" s="7" t="s">
        <x:v>526</x:v>
      </x:c>
      <x:c r="B96" s="4" t="s">
        <x:v>521</x:v>
      </x:c>
      <x:c r="C96" s="4" t="s">
        <x:v>527</x:v>
      </x:c>
      <x:c r="D96" s="11" t="s">
        <x:v>64</x:v>
      </x:c>
      <x:c r="E96" s="4" t="s">
        <x:v>523</x:v>
      </x:c>
      <x:c r="F96" s="4" t="s">
        <x:v>77</x:v>
      </x:c>
      <x:c r="G96" s="11" t="s">
        <x:v>9</x:v>
      </x:c>
      <x:c r="H96" s="4" t="s">
        <x:v>52</x:v>
      </x:c>
      <x:c r="I96" s="4" t="s">
        <x:v>528</x:v>
      </x:c>
      <x:c r="J96" s="4" t="s">
        <x:v>491</x:v>
      </x:c>
      <x:c r="K96" s="11">
        <x:v>400</x:v>
      </x:c>
      <x:c r="L96" s="4" t="s">
        <x:v>529</x:v>
      </x:c>
      <x:c r="M96" s="11" t="s">
        <x:v>12</x:v>
      </x:c>
      <x:c r="N96" s="4"/>
      <x:c r="O96" s="4"/>
      <x:c r="P96" s="9"/>
      <x:c r="Q96" s="4"/>
    </x:row>
    <x:row r="97" ht="57.95000076293945" customHeight="1">
      <x:c r="A97" s="7" t="s">
        <x:v>530</x:v>
      </x:c>
      <x:c r="B97" s="4" t="s">
        <x:v>521</x:v>
      </x:c>
      <x:c r="C97" s="4" t="s">
        <x:v>531</x:v>
      </x:c>
      <x:c r="D97" s="11" t="s">
        <x:v>64</x:v>
      </x:c>
      <x:c r="E97" s="4" t="s">
        <x:v>523</x:v>
      </x:c>
      <x:c r="F97" s="4" t="s">
        <x:v>77</x:v>
      </x:c>
      <x:c r="G97" s="11" t="s">
        <x:v>9</x:v>
      </x:c>
      <x:c r="H97" s="4" t="s">
        <x:v>52</x:v>
      </x:c>
      <x:c r="I97" s="4" t="s">
        <x:v>127</x:v>
      </x:c>
      <x:c r="J97" s="4" t="s">
        <x:v>128</x:v>
      </x:c>
      <x:c r="K97" s="11">
        <x:v>400</x:v>
      </x:c>
      <x:c r="L97" s="4" t="s">
        <x:v>532</x:v>
      </x:c>
      <x:c r="M97" s="11" t="s">
        <x:v>12</x:v>
      </x:c>
      <x:c r="N97" s="4"/>
      <x:c r="O97" s="4"/>
      <x:c r="P97" s="9"/>
      <x:c r="Q97" s="4"/>
    </x:row>
    <x:row r="98" ht="57.95000076293945" customHeight="1">
      <x:c r="A98" s="7" t="s">
        <x:v>533</x:v>
      </x:c>
      <x:c r="B98" s="4" t="s">
        <x:v>521</x:v>
      </x:c>
      <x:c r="C98" s="4" t="s">
        <x:v>534</x:v>
      </x:c>
      <x:c r="D98" s="11" t="s">
        <x:v>64</x:v>
      </x:c>
      <x:c r="E98" s="4" t="s">
        <x:v>523</x:v>
      </x:c>
      <x:c r="F98" s="4" t="s">
        <x:v>150</x:v>
      </x:c>
      <x:c r="G98" s="11" t="s">
        <x:v>11</x:v>
      </x:c>
      <x:c r="H98" s="4" t="s">
        <x:v>52</x:v>
      </x:c>
      <x:c r="I98" s="4" t="s">
        <x:v>535</x:v>
      </x:c>
      <x:c r="J98" s="4" t="s">
        <x:v>128</x:v>
      </x:c>
      <x:c r="K98" s="11">
        <x:v>400</x:v>
      </x:c>
      <x:c r="L98" s="4" t="s">
        <x:v>536</x:v>
      </x:c>
      <x:c r="M98" s="11" t="s">
        <x:v>12</x:v>
      </x:c>
      <x:c r="N98" s="4"/>
      <x:c r="O98" s="4"/>
      <x:c r="P98" s="9"/>
      <x:c r="Q98" s="4"/>
    </x:row>
    <x:row r="99" ht="57.95000076293945" customHeight="1">
      <x:c r="A99" s="7" t="s">
        <x:v>537</x:v>
      </x:c>
      <x:c r="B99" s="4" t="s">
        <x:v>521</x:v>
      </x:c>
      <x:c r="C99" s="4" t="s">
        <x:v>538</x:v>
      </x:c>
      <x:c r="D99" s="11" t="s">
        <x:v>48</x:v>
      </x:c>
      <x:c r="E99" s="4" t="s">
        <x:v>539</x:v>
      </x:c>
      <x:c r="F99" s="4" t="s">
        <x:v>50</x:v>
      </x:c>
      <x:c r="G99" s="11" t="s">
        <x:v>9</x:v>
      </x:c>
      <x:c r="H99" s="4" t="s">
        <x:v>277</x:v>
      </x:c>
      <x:c r="I99" s="4" t="s">
        <x:v>540</x:v>
      </x:c>
      <x:c r="J99" s="4" t="s">
        <x:v>128</x:v>
      </x:c>
      <x:c r="K99" s="11">
        <x:v>200</x:v>
      </x:c>
      <x:c r="L99" s="4" t="s">
        <x:v>541</x:v>
      </x:c>
      <x:c r="M99" s="11" t="s">
        <x:v>12</x:v>
      </x:c>
      <x:c r="N99" s="4"/>
      <x:c r="O99" s="4"/>
      <x:c r="P99" s="9"/>
      <x:c r="Q99" s="4"/>
    </x:row>
    <x:row r="100" ht="57.95000076293945" customHeight="1">
      <x:c r="A100" s="7" t="s">
        <x:v>542</x:v>
      </x:c>
      <x:c r="B100" s="4" t="s">
        <x:v>521</x:v>
      </x:c>
      <x:c r="C100" s="4" t="s">
        <x:v>543</x:v>
      </x:c>
      <x:c r="D100" s="11" t="s">
        <x:v>48</x:v>
      </x:c>
      <x:c r="E100" s="4" t="s">
        <x:v>523</x:v>
      </x:c>
      <x:c r="F100" s="4" t="s">
        <x:v>109</x:v>
      </x:c>
      <x:c r="G100" s="11" t="s">
        <x:v>7</x:v>
      </x:c>
      <x:c r="H100" s="4" t="s">
        <x:v>290</x:v>
      </x:c>
      <x:c r="I100" s="4" t="s">
        <x:v>356</x:v>
      </x:c>
      <x:c r="J100" s="4" t="s">
        <x:v>128</x:v>
      </x:c>
      <x:c r="K100" s="11">
        <x:v>403</x:v>
      </x:c>
      <x:c r="L100" s="4" t="s">
        <x:v>544</x:v>
      </x:c>
      <x:c r="M100" s="11" t="s">
        <x:v>12</x:v>
      </x:c>
      <x:c r="N100" s="4"/>
      <x:c r="O100" s="4"/>
      <x:c r="P100" s="9"/>
      <x:c r="Q100" s="4"/>
    </x:row>
    <x:row r="101" ht="57.95000076293945" customHeight="1">
      <x:c r="A101" s="7" t="s">
        <x:v>545</x:v>
      </x:c>
      <x:c r="B101" s="4" t="s">
        <x:v>521</x:v>
      </x:c>
      <x:c r="C101" s="4" t="s">
        <x:v>546</x:v>
      </x:c>
      <x:c r="D101" s="11" t="s">
        <x:v>48</x:v>
      </x:c>
      <x:c r="E101" s="4" t="s">
        <x:v>547</x:v>
      </x:c>
      <x:c r="F101" s="4" t="s">
        <x:v>50</x:v>
      </x:c>
      <x:c r="G101" s="11" t="s">
        <x:v>11</x:v>
      </x:c>
      <x:c r="H101" s="4" t="s">
        <x:v>548</x:v>
      </x:c>
      <x:c r="I101" s="4" t="s">
        <x:v>549</x:v>
      </x:c>
      <x:c r="J101" s="4" t="s">
        <x:v>128</x:v>
      </x:c>
      <x:c r="K101" s="11">
        <x:v>200</x:v>
      </x:c>
      <x:c r="L101" s="4" t="s">
        <x:v>550</x:v>
      </x:c>
      <x:c r="M101" s="11" t="s">
        <x:v>12</x:v>
      </x:c>
      <x:c r="N101" s="4"/>
      <x:c r="O101" s="4"/>
      <x:c r="P101" s="9"/>
      <x:c r="Q101" s="4"/>
    </x:row>
    <x:row r="102" ht="57.95000076293945" customHeight="1">
      <x:c r="A102" s="7" t="s">
        <x:v>551</x:v>
      </x:c>
      <x:c r="B102" s="4" t="s">
        <x:v>521</x:v>
      </x:c>
      <x:c r="C102" s="4" t="s">
        <x:v>506</x:v>
      </x:c>
      <x:c r="D102" s="11" t="s">
        <x:v>214</x:v>
      </x:c>
      <x:c r="E102" s="4" t="s">
        <x:v>547</x:v>
      </x:c>
      <x:c r="F102" s="4" t="s">
        <x:v>50</x:v>
      </x:c>
      <x:c r="G102" s="11" t="s">
        <x:v>9</x:v>
      </x:c>
      <x:c r="H102" s="4" t="s">
        <x:v>277</x:v>
      </x:c>
      <x:c r="I102" s="4" t="s">
        <x:v>552</x:v>
      </x:c>
      <x:c r="J102" s="4" t="s">
        <x:v>128</x:v>
      </x:c>
      <x:c r="K102" s="11">
        <x:v>200</x:v>
      </x:c>
      <x:c r="L102" s="4" t="s">
        <x:v>510</x:v>
      </x:c>
      <x:c r="M102" s="11" t="s">
        <x:v>12</x:v>
      </x:c>
      <x:c r="N102" s="4"/>
      <x:c r="O102" s="4"/>
      <x:c r="P102" s="9"/>
      <x:c r="Q102" s="4"/>
    </x:row>
    <x:row r="103" ht="57.95000076293945" customHeight="1">
      <x:c r="A103" s="8" t="s">
        <x:v>553</x:v>
      </x:c>
      <x:c r="B103" s="5" t="s">
        <x:v>521</x:v>
      </x:c>
      <x:c r="C103" s="5" t="s">
        <x:v>554</x:v>
      </x:c>
      <x:c r="D103" s="12" t="s">
        <x:v>64</x:v>
      </x:c>
      <x:c r="E103" s="5" t="s">
        <x:v>523</x:v>
      </x:c>
      <x:c r="F103" s="5" t="s">
        <x:v>109</x:v>
      </x:c>
      <x:c r="G103" s="12" t="s">
        <x:v>9</x:v>
      </x:c>
      <x:c r="H103" s="5" t="s">
        <x:v>52</x:v>
      </x:c>
      <x:c r="I103" s="5" t="s">
        <x:v>555</x:v>
      </x:c>
      <x:c r="J103" s="5" t="s">
        <x:v>123</x:v>
      </x:c>
      <x:c r="K103" s="12">
        <x:v>201</x:v>
      </x:c>
      <x:c r="L103" s="5" t="s">
        <x:v>556</x:v>
      </x:c>
      <x:c r="M103" s="11" t="s">
        <x:v>12</x:v>
      </x:c>
      <x:c r="N103" s="5"/>
      <x:c r="O103" s="5"/>
      <x:c r="P103" s="10"/>
      <x:c r="Q103" s="5"/>
    </x:row>
    <x:row r="104" ht="54" hidden="0" customHeight="1">
      <x:c r="A104" s="28" t="str">
        <x:v>API-099</x:v>
      </x:c>
      <x:c r="B104" s="29" t="str">
        <x:v>Auth</x:v>
      </x:c>
      <x:c r="C104" s="29" t="str">
        <x:v>Không nâng quyền khi đăng ký kèm role=admin</x:v>
      </x:c>
      <x:c r="D104" s="30" t="str">
        <x:v>POST</x:v>
      </x:c>
      <x:c r="E104" s="29" t="str">
        <x:v>/api/users/register</x:v>
      </x:c>
      <x:c r="F104" s="29" t="str">
        <x:v>Security</x:v>
      </x:c>
      <x:c r="G104" s="30" t="str">
        <x:v>Critical</x:v>
      </x:c>
      <x:c r="H104" s="29" t="str">
        <x:v>DB test đã có admin; email chưa tồn tại.</x:v>
      </x:c>
      <x:c r="I104" s="29" t="str">
        <x:v>{name:"QA",email:"qa-new@example.test",password:"Test123!",role:"admin"}</x:v>
      </x:c>
      <x:c r="J104" s="29" t="str">
        <x:v>1. Gửi đăng ký kèm role.
2. Kiểm tra response và role trong DB.
3. Thử dùng token mới gọi API admin.</x:v>
      </x:c>
      <x:c r="K104" s="30" t="n">
        <x:v>201</x:v>
      </x:c>
      <x:c r="L104" s="29" t="str">
        <x:v>User mới có role customer; không cho client tự cấp quyền admin.</x:v>
      </x:c>
      <x:c r="M104" s="30" t="str">
        <x:v>Not Run</x:v>
      </x:c>
      <x:c r="N104" s="29"/>
      <x:c r="O104" s="29"/>
      <x:c r="P104" s="31"/>
      <x:c r="Q104" s="29" t="str">
        <x:v>Nguồn: server/routes/userRoutes.js; đối chiếu middleware/authMiddleware.js.</x:v>
      </x:c>
    </x:row>
    <x:row r="105" ht="54" hidden="0" customHeight="1">
      <x:c r="A105" s="32" t="str">
        <x:v>API-100</x:v>
      </x:c>
      <x:c r="B105" s="33" t="str">
        <x:v>Auth</x:v>
      </x:c>
      <x:c r="C105" s="33" t="str">
        <x:v>Đăng ký được cấp voucher chiến dịch hợp lệ</x:v>
      </x:c>
      <x:c r="D105" s="34" t="str">
        <x:v>POST</x:v>
      </x:c>
      <x:c r="E105" s="33" t="str">
        <x:v>/api/users/register</x:v>
      </x:c>
      <x:c r="F105" s="33" t="str">
        <x:v>Business Rule</x:v>
      </x:c>
      <x:c r="G105" s="34" t="str">
        <x:v>High</x:v>
      </x:c>
      <x:c r="H105" s="33" t="str">
        <x:v>Có chiến dịch autoAssignOnRegister=true đang hiệu lực; email mới.</x:v>
      </x:c>
      <x:c r="I105" s="33" t="str">
        <x:v>Chiến dịch WELCOME50K giảm 50.000đ, minOrder=200.000đ.</x:v>
      </x:c>
      <x:c r="J105" s="33" t="str">
        <x:v>1. Chụp usage trước.
2. Đăng ký user mới.
3. GET /api/vouchers/mine và đối chiếu DB.</x:v>
      </x:c>
      <x:c r="K105" s="34" t="n">
        <x:v>201</x:v>
      </x:c>
      <x:c r="L105" s="33" t="str">
        <x:v>User lưu đúng ID voucher; voucherCount khớp mảng vouchers; chưa tiêu thụ lượt sử dụng.</x:v>
      </x:c>
      <x:c r="M105" s="30" t="str">
        <x:v>Not Run</x:v>
      </x:c>
      <x:c r="N105" s="33"/>
      <x:c r="O105" s="33"/>
      <x:c r="P105" s="35"/>
      <x:c r="Q105" s="33" t="str"/>
    </x:row>
    <x:row r="106" ht="48" hidden="0" customHeight="1">
      <x:c r="A106" s="28" t="str">
        <x:v>API-101</x:v>
      </x:c>
      <x:c r="B106" s="29" t="str">
        <x:v>Auth</x:v>
      </x:c>
      <x:c r="C106" s="29" t="str">
        <x:v>Không tự cấp chiến dịch hết hạn</x:v>
      </x:c>
      <x:c r="D106" s="30" t="str">
        <x:v>POST</x:v>
      </x:c>
      <x:c r="E106" s="29" t="str">
        <x:v>/api/users/register</x:v>
      </x:c>
      <x:c r="F106" s="29" t="str">
        <x:v>Business Rule</x:v>
      </x:c>
      <x:c r="G106" s="30" t="str">
        <x:v>High</x:v>
      </x:c>
      <x:c r="H106" s="29" t="str">
        <x:v>Chỉ có chiến dịch tự cấp hết hạn; email mới.</x:v>
      </x:c>
      <x:c r="I106" s="29" t="str">
        <x:v>Thông tin đăng ký hợp lệ.</x:v>
      </x:c>
      <x:c r="J106" s="29" t="str">
        <x:v>1. Chuẩn bị trạng thái chiến dịch.
2. Đăng ký tài khoản mới.
3. Kiểm tra vouchers và voucherCount.</x:v>
      </x:c>
      <x:c r="K106" s="30" t="n">
        <x:v>201</x:v>
      </x:c>
      <x:c r="L106" s="29" t="str">
        <x:v>Đăng ký thành công nhưng không sở hữu chiến dịch không hợp lệ; voucherCount đúng.</x:v>
      </x:c>
      <x:c r="M106" s="30" t="str">
        <x:v>Not Run</x:v>
      </x:c>
      <x:c r="N106" s="29"/>
      <x:c r="O106" s="29"/>
      <x:c r="P106" s="31"/>
      <x:c r="Q106" s="29" t="str"/>
    </x:row>
    <x:row r="107" ht="48" hidden="0" customHeight="1">
      <x:c r="A107" s="32" t="str">
        <x:v>API-102</x:v>
      </x:c>
      <x:c r="B107" s="33" t="str">
        <x:v>Auth</x:v>
      </x:c>
      <x:c r="C107" s="33" t="str">
        <x:v>Không tự cấp chiến dịch chưa đến ngày dùng</x:v>
      </x:c>
      <x:c r="D107" s="34" t="str">
        <x:v>POST</x:v>
      </x:c>
      <x:c r="E107" s="33" t="str">
        <x:v>/api/users/register</x:v>
      </x:c>
      <x:c r="F107" s="33" t="str">
        <x:v>Business Rule</x:v>
      </x:c>
      <x:c r="G107" s="34" t="str">
        <x:v>High</x:v>
      </x:c>
      <x:c r="H107" s="33" t="str">
        <x:v>Chỉ có chiến dịch tự cấp chưa đến ngày dùng; email mới.</x:v>
      </x:c>
      <x:c r="I107" s="33" t="str">
        <x:v>Thông tin đăng ký hợp lệ.</x:v>
      </x:c>
      <x:c r="J107" s="33" t="str">
        <x:v>1. Chuẩn bị trạng thái chiến dịch.
2. Đăng ký tài khoản mới.
3. Kiểm tra vouchers và voucherCount.</x:v>
      </x:c>
      <x:c r="K107" s="34" t="n">
        <x:v>201</x:v>
      </x:c>
      <x:c r="L107" s="33" t="str">
        <x:v>Đăng ký thành công nhưng không sở hữu chiến dịch không hợp lệ; voucherCount đúng.</x:v>
      </x:c>
      <x:c r="M107" s="30" t="str">
        <x:v>Not Run</x:v>
      </x:c>
      <x:c r="N107" s="33"/>
      <x:c r="O107" s="33"/>
      <x:c r="P107" s="35"/>
      <x:c r="Q107" s="33" t="str"/>
    </x:row>
    <x:row r="108" ht="48" hidden="0" customHeight="1">
      <x:c r="A108" s="28" t="str">
        <x:v>API-103</x:v>
      </x:c>
      <x:c r="B108" s="29" t="str">
        <x:v>Auth</x:v>
      </x:c>
      <x:c r="C108" s="29" t="str">
        <x:v>Không tự cấp chiến dịch bị tắt</x:v>
      </x:c>
      <x:c r="D108" s="30" t="str">
        <x:v>POST</x:v>
      </x:c>
      <x:c r="E108" s="29" t="str">
        <x:v>/api/users/register</x:v>
      </x:c>
      <x:c r="F108" s="29" t="str">
        <x:v>Business Rule</x:v>
      </x:c>
      <x:c r="G108" s="30" t="str">
        <x:v>High</x:v>
      </x:c>
      <x:c r="H108" s="29" t="str">
        <x:v>Chỉ có chiến dịch tự cấp bị tắt; email mới.</x:v>
      </x:c>
      <x:c r="I108" s="29" t="str">
        <x:v>Thông tin đăng ký hợp lệ.</x:v>
      </x:c>
      <x:c r="J108" s="29" t="str">
        <x:v>1. Chuẩn bị trạng thái chiến dịch.
2. Đăng ký tài khoản mới.
3. Kiểm tra vouchers và voucherCount.</x:v>
      </x:c>
      <x:c r="K108" s="30" t="n">
        <x:v>201</x:v>
      </x:c>
      <x:c r="L108" s="29" t="str">
        <x:v>Đăng ký thành công nhưng không sở hữu chiến dịch không hợp lệ; voucherCount đúng.</x:v>
      </x:c>
      <x:c r="M108" s="30" t="str">
        <x:v>Not Run</x:v>
      </x:c>
      <x:c r="N108" s="29"/>
      <x:c r="O108" s="29"/>
      <x:c r="P108" s="31"/>
      <x:c r="Q108" s="29" t="str"/>
    </x:row>
    <x:row r="109" ht="48" hidden="0" customHeight="1">
      <x:c r="A109" s="32" t="str">
        <x:v>API-104</x:v>
      </x:c>
      <x:c r="B109" s="33" t="str">
        <x:v>Auth</x:v>
      </x:c>
      <x:c r="C109" s="33" t="str">
        <x:v>Không tự cấp chiến dịch đã xoá</x:v>
      </x:c>
      <x:c r="D109" s="34" t="str">
        <x:v>POST</x:v>
      </x:c>
      <x:c r="E109" s="33" t="str">
        <x:v>/api/users/register</x:v>
      </x:c>
      <x:c r="F109" s="33" t="str">
        <x:v>Business Rule</x:v>
      </x:c>
      <x:c r="G109" s="34" t="str">
        <x:v>High</x:v>
      </x:c>
      <x:c r="H109" s="33" t="str">
        <x:v>Chỉ có chiến dịch tự cấp đã xoá; email mới.</x:v>
      </x:c>
      <x:c r="I109" s="33" t="str">
        <x:v>Thông tin đăng ký hợp lệ.</x:v>
      </x:c>
      <x:c r="J109" s="33" t="str">
        <x:v>1. Chuẩn bị trạng thái chiến dịch.
2. Đăng ký tài khoản mới.
3. Kiểm tra vouchers và voucherCount.</x:v>
      </x:c>
      <x:c r="K109" s="34" t="n">
        <x:v>201</x:v>
      </x:c>
      <x:c r="L109" s="33" t="str">
        <x:v>Đăng ký thành công nhưng không sở hữu chiến dịch không hợp lệ; voucherCount đúng.</x:v>
      </x:c>
      <x:c r="M109" s="30" t="str">
        <x:v>Not Run</x:v>
      </x:c>
      <x:c r="N109" s="33"/>
      <x:c r="O109" s="33"/>
      <x:c r="P109" s="35"/>
      <x:c r="Q109" s="33" t="str"/>
    </x:row>
    <x:row r="110" ht="48" hidden="0" customHeight="1">
      <x:c r="A110" s="28" t="str">
        <x:v>API-105</x:v>
      </x:c>
      <x:c r="B110" s="29" t="str">
        <x:v>Auth</x:v>
      </x:c>
      <x:c r="C110" s="29" t="str">
        <x:v>Không cho giả mạo voucherCount/vouchers lúc đăng ký</x:v>
      </x:c>
      <x:c r="D110" s="30" t="str">
        <x:v>POST</x:v>
      </x:c>
      <x:c r="E110" s="29" t="str">
        <x:v>/api/users/register</x:v>
      </x:c>
      <x:c r="F110" s="29" t="str">
        <x:v>Security</x:v>
      </x:c>
      <x:c r="G110" s="30" t="str">
        <x:v>Critical</x:v>
      </x:c>
      <x:c r="H110" s="29" t="str">
        <x:v>Có voucher chỉ gán cho user khác; email mới.</x:v>
      </x:c>
      <x:c r="I110" s="29" t="str">
        <x:v>{vouchers:[voucherUserKhac],voucherCount:999,autoAssignOnRegister:true}</x:v>
      </x:c>
      <x:c r="J110" s="29" t="str">
        <x:v>1. Gửi payload đăng ký giả mạo.
2. Kiểm tra response và DB.
3. Thử validate mã không được cấp.</x:v>
      </x:c>
      <x:c r="K110" s="30" t="n">
        <x:v>201</x:v>
      </x:c>
      <x:c r="L110" s="29" t="str">
        <x:v>Server bỏ qua trường sở hữu do client gửi; chỉ gán chiến dịch hợp lệ từ DB.</x:v>
      </x:c>
      <x:c r="M110" s="30" t="str">
        <x:v>Not Run</x:v>
      </x:c>
      <x:c r="N110" s="29"/>
      <x:c r="O110" s="29"/>
      <x:c r="P110" s="31"/>
      <x:c r="Q110" s="29" t="str"/>
    </x:row>
    <x:row r="111" ht="48" hidden="0" customHeight="1">
      <x:c r="A111" s="32" t="str">
        <x:v>API-106</x:v>
      </x:c>
      <x:c r="B111" s="33" t="str">
        <x:v>Profile</x:v>
      </x:c>
      <x:c r="C111" s="33" t="str">
        <x:v>Profile không cho sửa sở hữu voucher</x:v>
      </x:c>
      <x:c r="D111" s="34" t="str">
        <x:v>PUT</x:v>
      </x:c>
      <x:c r="E111" s="33" t="str">
        <x:v>/api/users/me</x:v>
      </x:c>
      <x:c r="F111" s="33" t="str">
        <x:v>Security</x:v>
      </x:c>
      <x:c r="G111" s="34" t="str">
        <x:v>Critical</x:v>
      </x:c>
      <x:c r="H111" s="33" t="str">
        <x:v>Có JWT customer active; dùng dữ liệu test riêng.</x:v>
      </x:c>
      <x:c r="I111" s="33" t="str">
        <x:v>{vouchers:[idKhac],voucherCount:999,role:"admin"}</x:v>
      </x:c>
      <x:c r="J111" s="33" t="str">
        <x:v>1. Đọc user trước.
2. Gửi PUT giả mạo.
3. Đọc lại user và so sánh trường bảo vệ.</x:v>
      </x:c>
      <x:c r="K111" s="34" t="n">
        <x:v>200</x:v>
      </x:c>
      <x:c r="L111" s="33" t="str">
        <x:v>Không đổi role, vouchers hoặc voucherCount ngoài whitelist; dữ liệu hồ sơ hợp lệ khác vẫn xử lý theo API.</x:v>
      </x:c>
      <x:c r="M111" s="30" t="str">
        <x:v>Not Run</x:v>
      </x:c>
      <x:c r="N111" s="33"/>
      <x:c r="O111" s="33"/>
      <x:c r="P111" s="35"/>
      <x:c r="Q111" s="33" t="str"/>
    </x:row>
    <x:row r="112" ht="48" hidden="0" customHeight="1">
      <x:c r="A112" s="28" t="str">
        <x:v>API-107</x:v>
      </x:c>
      <x:c r="B112" s="29" t="str">
        <x:v>Profile</x:v>
      </x:c>
      <x:c r="C112" s="29" t="str">
        <x:v>Token của tài khoản vừa bị khoá không còn truy cập được</x:v>
      </x:c>
      <x:c r="D112" s="30" t="str">
        <x:v>GET</x:v>
      </x:c>
      <x:c r="E112" s="29" t="str">
        <x:v>/api/users/me</x:v>
      </x:c>
      <x:c r="F112" s="29" t="str">
        <x:v>Security</x:v>
      </x:c>
      <x:c r="G112" s="30" t="str">
        <x:v>Critical</x:v>
      </x:c>
      <x:c r="H112" s="29" t="str">
        <x:v>Customer đã đăng nhập; admin vừa đặt isActive=false.</x:v>
      </x:c>
      <x:c r="I112" s="29" t="str">
        <x:v>Bearer token được cấp trước khi khoá.</x:v>
      </x:c>
      <x:c r="J112" s="29" t="str">
        <x:v>1. Lấy token khi active.
2. Admin khoá customer.
3. Gọi /me bằng token cũ.</x:v>
      </x:c>
      <x:c r="K112" s="30" t="n">
        <x:v>401</x:v>
      </x:c>
      <x:c r="L112" s="29" t="str">
        <x:v>Từ chối dù JWT chưa hết hạn; không trả hồ sơ riêng tư.</x:v>
      </x:c>
      <x:c r="M112" s="30" t="str">
        <x:v>Not Run</x:v>
      </x:c>
      <x:c r="N112" s="29"/>
      <x:c r="O112" s="29"/>
      <x:c r="P112" s="31"/>
      <x:c r="Q112" s="29" t="str"/>
    </x:row>
    <x:row r="113" ht="54" hidden="0" customHeight="1">
      <x:c r="A113" s="32" t="str">
        <x:v>API-108</x:v>
      </x:c>
      <x:c r="B113" s="33" t="str">
        <x:v>Product</x:v>
      </x:c>
      <x:c r="C113" s="33" t="str">
        <x:v>Lọc khoảng giá bao gồm hai biên</x:v>
      </x:c>
      <x:c r="D113" s="34" t="str">
        <x:v>GET</x:v>
      </x:c>
      <x:c r="E113" s="33" t="str">
        <x:v>/api/products?minPrice=100000&amp;maxPrice=200000</x:v>
      </x:c>
      <x:c r="F113" s="33" t="str">
        <x:v>Boundary</x:v>
      </x:c>
      <x:c r="G113" s="34" t="str">
        <x:v>High</x:v>
      </x:c>
      <x:c r="H113" s="33" t="str">
        <x:v>Có JWT customer active; dùng dữ liệu test riêng. Có SP giá 100.000, 150.000, 200.000 và 200.001đ.</x:v>
      </x:c>
      <x:c r="I113" s="33" t="str">
        <x:v>minPrice=100000; maxPrice=200000.</x:v>
      </x:c>
      <x:c r="J113" s="33" t="str">
        <x:v>1. Seed các mức giá.
2. Gọi API lọc.
3. So từng price và pagination.total.</x:v>
      </x:c>
      <x:c r="K113" s="34" t="n">
        <x:v>200</x:v>
      </x:c>
      <x:c r="L113" s="33" t="str">
        <x:v>Chỉ trả giá từ 100.000 đến 200.000đ, gồm cả hai biên; total đúng.</x:v>
      </x:c>
      <x:c r="M113" s="30" t="str">
        <x:v>Not Run</x:v>
      </x:c>
      <x:c r="N113" s="33"/>
      <x:c r="O113" s="33"/>
      <x:c r="P113" s="35"/>
      <x:c r="Q113" s="33" t="str">
        <x:v>Nguồn: server/routes/productRoutes.js; server/docs/PRODUCT_FILTERS.md.</x:v>
      </x:c>
    </x:row>
    <x:row r="114" ht="48" hidden="0" customHeight="1">
      <x:c r="A114" s="28" t="str">
        <x:v>API-109</x:v>
      </x:c>
      <x:c r="B114" s="29" t="str">
        <x:v>Product</x:v>
      </x:c>
      <x:c r="C114" s="29" t="str">
        <x:v>Lọc sản phẩm giá bằng 0</x:v>
      </x:c>
      <x:c r="D114" s="30" t="str">
        <x:v>GET</x:v>
      </x:c>
      <x:c r="E114" s="29" t="str">
        <x:v>/api/products?minPrice=0&amp;maxPrice=0</x:v>
      </x:c>
      <x:c r="F114" s="29" t="str">
        <x:v>Boundary</x:v>
      </x:c>
      <x:c r="G114" s="30" t="str">
        <x:v>Medium</x:v>
      </x:c>
      <x:c r="H114" s="29" t="str">
        <x:v>Có JWT customer active; dùng dữ liệu test riêng. Có product giá 0đ.</x:v>
      </x:c>
      <x:c r="I114" s="29" t="str">
        <x:v>minPrice=0; maxPrice=0.</x:v>
      </x:c>
      <x:c r="J114" s="29" t="str">
        <x:v>1. Tạo product giá 0.
2. Gọi lọc exact 0.
3. Kiểm tra mọi giá và tổng số.</x:v>
      </x:c>
      <x:c r="K114" s="30" t="n">
        <x:v>200</x:v>
      </x:c>
      <x:c r="L114" s="29" t="str">
        <x:v>Giữ giá trị 0, không coi là bỏ lọc; chỉ trả SP có giá 0đ.</x:v>
      </x:c>
      <x:c r="M114" s="30" t="str">
        <x:v>Not Run</x:v>
      </x:c>
      <x:c r="N114" s="29"/>
      <x:c r="O114" s="29"/>
      <x:c r="P114" s="31"/>
      <x:c r="Q114" s="29" t="str"/>
    </x:row>
    <x:row r="115" ht="48" hidden="0" customHeight="1">
      <x:c r="A115" s="32" t="str">
        <x:v>API-110</x:v>
      </x:c>
      <x:c r="B115" s="33" t="str">
        <x:v>Product</x:v>
      </x:c>
      <x:c r="C115" s="33" t="str">
        <x:v>Sắp giá tăng dần ổn định</x:v>
      </x:c>
      <x:c r="D115" s="34" t="str">
        <x:v>GET</x:v>
      </x:c>
      <x:c r="E115" s="33" t="str">
        <x:v>/api/products?sort=price_asc&amp;limit=2</x:v>
      </x:c>
      <x:c r="F115" s="33" t="str">
        <x:v>Positive</x:v>
      </x:c>
      <x:c r="G115" s="34" t="str">
        <x:v>High</x:v>
      </x:c>
      <x:c r="H115" s="33" t="str">
        <x:v>Có JWT customer active; dùng dữ liệu test riêng. Nhiều SP khác danh mục, có giá bằng nhau.</x:v>
      </x:c>
      <x:c r="I115" s="33" t="str">
        <x:v>sort=price_asc; gọi page=1 và page=2.</x:v>
      </x:c>
      <x:c r="J115" s="33" t="str">
        <x:v>1. Gọi hai trang liên tiếp.
2. Ghép kết quả.
3. Đối chiếu price và ID.</x:v>
      </x:c>
      <x:c r="K115" s="34" t="n">
        <x:v>200</x:v>
      </x:c>
      <x:c r="L115" s="33" t="str">
        <x:v>Toàn bộ danh sách tăng theo price; giá bằng nhau có thứ tự ổn định; không trùng qua trang.</x:v>
      </x:c>
      <x:c r="M115" s="30" t="str">
        <x:v>Not Run</x:v>
      </x:c>
      <x:c r="N115" s="33"/>
      <x:c r="O115" s="33"/>
      <x:c r="P115" s="35"/>
      <x:c r="Q115" s="33" t="str"/>
    </x:row>
    <x:row r="116" ht="48" hidden="0" customHeight="1">
      <x:c r="A116" s="28" t="str">
        <x:v>API-111</x:v>
      </x:c>
      <x:c r="B116" s="29" t="str">
        <x:v>Product</x:v>
      </x:c>
      <x:c r="C116" s="29" t="str">
        <x:v>Sắp giá giảm dần trên mọi danh mục</x:v>
      </x:c>
      <x:c r="D116" s="30" t="str">
        <x:v>GET</x:v>
      </x:c>
      <x:c r="E116" s="29" t="str">
        <x:v>/api/products?sort=price_desc</x:v>
      </x:c>
      <x:c r="F116" s="29" t="str">
        <x:v>Positive</x:v>
      </x:c>
      <x:c r="G116" s="30" t="str">
        <x:v>High</x:v>
      </x:c>
      <x:c r="H116" s="29" t="str">
        <x:v>Có JWT customer active; dùng dữ liệu test riêng.</x:v>
      </x:c>
      <x:c r="I116" s="29" t="str">
        <x:v>sort=price_desc.</x:v>
      </x:c>
      <x:c r="J116" s="29" t="str">
        <x:v>1. Gọi API.
2. So giá từng cặp liền kề.
3. Đối chiếu bản ghi DB.</x:v>
      </x:c>
      <x:c r="K116" s="30" t="n">
        <x:v>200</x:v>
      </x:c>
      <x:c r="L116" s="29" t="str">
        <x:v>Kết quả giảm theo giá toàn bộ tập lọc, không chỉ trong từng category.</x:v>
      </x:c>
      <x:c r="M116" s="30" t="str">
        <x:v>Not Run</x:v>
      </x:c>
      <x:c r="N116" s="29"/>
      <x:c r="O116" s="29"/>
      <x:c r="P116" s="31"/>
      <x:c r="Q116" s="29" t="str"/>
    </x:row>
    <x:row r="117" ht="54" hidden="0" customHeight="1">
      <x:c r="A117" s="32" t="str">
        <x:v>API-112</x:v>
      </x:c>
      <x:c r="B117" s="33" t="str">
        <x:v>Product</x:v>
      </x:c>
      <x:c r="C117" s="33" t="str">
        <x:v>Kết hợp danh mục, giá, sort và phân trang</x:v>
      </x:c>
      <x:c r="D117" s="34" t="str">
        <x:v>GET</x:v>
      </x:c>
      <x:c r="E117" s="33" t="str">
        <x:v>/api/products?category=Cake&amp;minPrice=100000&amp;maxPrice=300000&amp;sort=price_desc&amp;page=2&amp;limit=2</x:v>
      </x:c>
      <x:c r="F117" s="33" t="str">
        <x:v>Integration</x:v>
      </x:c>
      <x:c r="G117" s="34" t="str">
        <x:v>High</x:v>
      </x:c>
      <x:c r="H117" s="33" t="str">
        <x:v>Có JWT customer active; dùng dữ liệu test riêng. Ít nhất 5 SP Cake phù hợp.</x:v>
      </x:c>
      <x:c r="I117" s="33" t="str">
        <x:v>category=Cake; giá 100.000–300.000; page=2.</x:v>
      </x:c>
      <x:c r="J117" s="33" t="str">
        <x:v>1. Tính tập kết quả kỳ vọng từ dữ liệu seed.
2. Gọi query kết hợp.
3. So ID, price, total/pages.</x:v>
      </x:c>
      <x:c r="K117" s="34" t="n">
        <x:v>200</x:v>
      </x:c>
      <x:c r="L117" s="33" t="str">
        <x:v>Trả đúng trang thứ 2 của Cake trong khoảng giá, đúng thứ tự và tổng số.</x:v>
      </x:c>
      <x:c r="M117" s="30" t="str">
        <x:v>Not Run</x:v>
      </x:c>
      <x:c r="N117" s="33"/>
      <x:c r="O117" s="33"/>
      <x:c r="P117" s="35"/>
      <x:c r="Q117" s="33" t="str"/>
    </x:row>
    <x:row r="118" ht="48" hidden="0" customHeight="1">
      <x:c r="A118" s="28" t="str">
        <x:v>API-113</x:v>
      </x:c>
      <x:c r="B118" s="29" t="str">
        <x:v>Product</x:v>
      </x:c>
      <x:c r="C118" s="29" t="str">
        <x:v>Danh mục vẫn có khi tập lọc rỗng</x:v>
      </x:c>
      <x:c r="D118" s="30" t="str">
        <x:v>GET</x:v>
      </x:c>
      <x:c r="E118" s="29" t="str">
        <x:v>/api/products?category=KhongTonTai&amp;minPrice=9999999</x:v>
      </x:c>
      <x:c r="F118" s="29" t="str">
        <x:v>Negative</x:v>
      </x:c>
      <x:c r="G118" s="30" t="str">
        <x:v>Medium</x:v>
      </x:c>
      <x:c r="H118" s="29" t="str">
        <x:v>Có JWT customer active; dùng dữ liệu test riêng.</x:v>
      </x:c>
      <x:c r="I118" s="29" t="str">
        <x:v>Danh mục không tồn tại; khoảng giá không khớp.</x:v>
      </x:c>
      <x:c r="J118" s="29" t="str">
        <x:v>1. Lấy categories khi không lọc.
2. Gọi query không khớp.
3. So categories trước/sau.</x:v>
      </x:c>
      <x:c r="K118" s="30" t="n">
        <x:v>200</x:v>
      </x:c>
      <x:c r="L118" s="29" t="str">
        <x:v>products=[] và total=0; categories vẫn có danh mục hợp lệ từ DB, không bị thu hẹp theo giá/category đã chọn.</x:v>
      </x:c>
      <x:c r="M118" s="30" t="str">
        <x:v>Not Run</x:v>
      </x:c>
      <x:c r="N118" s="29"/>
      <x:c r="O118" s="29"/>
      <x:c r="P118" s="31"/>
      <x:c r="Q118" s="29" t="str"/>
    </x:row>
    <x:row r="119" ht="54" hidden="0" customHeight="1">
      <x:c r="A119" s="32" t="str">
        <x:v>API-114</x:v>
      </x:c>
      <x:c r="B119" s="33" t="str">
        <x:v>Product</x:v>
      </x:c>
      <x:c r="C119" s="33" t="str">
        <x:v>Từ chối bộ lọc min lớn hơn max</x:v>
      </x:c>
      <x:c r="D119" s="34" t="str">
        <x:v>GET</x:v>
      </x:c>
      <x:c r="E119" s="33" t="str">
        <x:v>/api/products?minPrice=200000&amp;maxPrice=100000</x:v>
      </x:c>
      <x:c r="F119" s="33" t="str">
        <x:v>Validation</x:v>
      </x:c>
      <x:c r="G119" s="34" t="str">
        <x:v>High</x:v>
      </x:c>
      <x:c r="H119" s="33" t="str">
        <x:v>Có JWT customer active; dùng dữ liệu test riêng.</x:v>
      </x:c>
      <x:c r="I119" s="33" t="str">
        <x:v>minPrice=200000&amp;maxPrice=100000</x:v>
      </x:c>
      <x:c r="J119" s="33" t="str">
        <x:v>1. Gửi query không hợp lệ.
2. Kiểm tra HTTP/code.
3. Gọi query hợp lệ để xác nhận server còn hoạt động.</x:v>
      </x:c>
      <x:c r="K119" s="34" t="n">
        <x:v>400</x:v>
      </x:c>
      <x:c r="L119" s="33" t="str">
        <x:v>Trả lỗi PRODUCT_FILTER_INVALID; không crash hoặc chuyển thành query không kiểm soát.</x:v>
      </x:c>
      <x:c r="M119" s="30" t="str">
        <x:v>Not Run</x:v>
      </x:c>
      <x:c r="N119" s="33"/>
      <x:c r="O119" s="33"/>
      <x:c r="P119" s="35"/>
      <x:c r="Q119" s="33" t="str"/>
    </x:row>
    <x:row r="120" ht="54" hidden="0" customHeight="1">
      <x:c r="A120" s="28" t="str">
        <x:v>API-115</x:v>
      </x:c>
      <x:c r="B120" s="29" t="str">
        <x:v>Product</x:v>
      </x:c>
      <x:c r="C120" s="29" t="str">
        <x:v>Từ chối bộ lọc giá âm</x:v>
      </x:c>
      <x:c r="D120" s="30" t="str">
        <x:v>GET</x:v>
      </x:c>
      <x:c r="E120" s="29" t="str">
        <x:v>/api/products?minPrice=-1</x:v>
      </x:c>
      <x:c r="F120" s="29" t="str">
        <x:v>Validation</x:v>
      </x:c>
      <x:c r="G120" s="30" t="str">
        <x:v>High</x:v>
      </x:c>
      <x:c r="H120" s="29" t="str">
        <x:v>Có JWT customer active; dùng dữ liệu test riêng.</x:v>
      </x:c>
      <x:c r="I120" s="29" t="str">
        <x:v>minPrice=-1</x:v>
      </x:c>
      <x:c r="J120" s="29" t="str">
        <x:v>1. Gửi query không hợp lệ.
2. Kiểm tra HTTP/code.
3. Gọi query hợp lệ để xác nhận server còn hoạt động.</x:v>
      </x:c>
      <x:c r="K120" s="30" t="n">
        <x:v>400</x:v>
      </x:c>
      <x:c r="L120" s="29" t="str">
        <x:v>Trả lỗi PRODUCT_FILTER_INVALID; không crash hoặc chuyển thành query không kiểm soát.</x:v>
      </x:c>
      <x:c r="M120" s="30" t="str">
        <x:v>Not Run</x:v>
      </x:c>
      <x:c r="N120" s="29"/>
      <x:c r="O120" s="29"/>
      <x:c r="P120" s="31"/>
      <x:c r="Q120" s="29" t="str"/>
    </x:row>
    <x:row r="121" ht="54" hidden="0" customHeight="1">
      <x:c r="A121" s="32" t="str">
        <x:v>API-116</x:v>
      </x:c>
      <x:c r="B121" s="33" t="str">
        <x:v>Product</x:v>
      </x:c>
      <x:c r="C121" s="33" t="str">
        <x:v>Từ chối bộ lọc giá lẻ VND</x:v>
      </x:c>
      <x:c r="D121" s="34" t="str">
        <x:v>GET</x:v>
      </x:c>
      <x:c r="E121" s="33" t="str">
        <x:v>/api/products?minPrice=100.5</x:v>
      </x:c>
      <x:c r="F121" s="33" t="str">
        <x:v>Validation</x:v>
      </x:c>
      <x:c r="G121" s="34" t="str">
        <x:v>High</x:v>
      </x:c>
      <x:c r="H121" s="33" t="str">
        <x:v>Có JWT customer active; dùng dữ liệu test riêng.</x:v>
      </x:c>
      <x:c r="I121" s="33" t="str">
        <x:v>minPrice=100.5</x:v>
      </x:c>
      <x:c r="J121" s="33" t="str">
        <x:v>1. Gửi query không hợp lệ.
2. Kiểm tra HTTP/code.
3. Gọi query hợp lệ để xác nhận server còn hoạt động.</x:v>
      </x:c>
      <x:c r="K121" s="34" t="n">
        <x:v>400</x:v>
      </x:c>
      <x:c r="L121" s="33" t="str">
        <x:v>Trả lỗi PRODUCT_FILTER_INVALID; không crash hoặc chuyển thành query không kiểm soát.</x:v>
      </x:c>
      <x:c r="M121" s="30" t="str">
        <x:v>Not Run</x:v>
      </x:c>
      <x:c r="N121" s="33"/>
      <x:c r="O121" s="33"/>
      <x:c r="P121" s="35"/>
      <x:c r="Q121" s="33" t="str"/>
    </x:row>
    <x:row r="122" ht="54" hidden="0" customHeight="1">
      <x:c r="A122" s="28" t="str">
        <x:v>API-117</x:v>
      </x:c>
      <x:c r="B122" s="29" t="str">
        <x:v>Product</x:v>
      </x:c>
      <x:c r="C122" s="29" t="str">
        <x:v>Từ chối bộ lọc giá không phải số</x:v>
      </x:c>
      <x:c r="D122" s="30" t="str">
        <x:v>GET</x:v>
      </x:c>
      <x:c r="E122" s="29" t="str">
        <x:v>/api/products?maxPrice=abc</x:v>
      </x:c>
      <x:c r="F122" s="29" t="str">
        <x:v>Validation</x:v>
      </x:c>
      <x:c r="G122" s="30" t="str">
        <x:v>High</x:v>
      </x:c>
      <x:c r="H122" s="29" t="str">
        <x:v>Có JWT customer active; dùng dữ liệu test riêng.</x:v>
      </x:c>
      <x:c r="I122" s="29" t="str">
        <x:v>maxPrice=abc</x:v>
      </x:c>
      <x:c r="J122" s="29" t="str">
        <x:v>1. Gửi query không hợp lệ.
2. Kiểm tra HTTP/code.
3. Gọi query hợp lệ để xác nhận server còn hoạt động.</x:v>
      </x:c>
      <x:c r="K122" s="30" t="n">
        <x:v>400</x:v>
      </x:c>
      <x:c r="L122" s="29" t="str">
        <x:v>Trả lỗi PRODUCT_FILTER_INVALID; không crash hoặc chuyển thành query không kiểm soát.</x:v>
      </x:c>
      <x:c r="M122" s="30" t="str">
        <x:v>Not Run</x:v>
      </x:c>
      <x:c r="N122" s="29"/>
      <x:c r="O122" s="29"/>
      <x:c r="P122" s="31"/>
      <x:c r="Q122" s="29" t="str"/>
    </x:row>
    <x:row r="123" ht="54" hidden="0" customHeight="1">
      <x:c r="A123" s="32" t="str">
        <x:v>API-118</x:v>
      </x:c>
      <x:c r="B123" s="33" t="str">
        <x:v>Product</x:v>
      </x:c>
      <x:c r="C123" s="33" t="str">
        <x:v>Từ chối bộ lọc sort ngoài danh sách</x:v>
      </x:c>
      <x:c r="D123" s="34" t="str">
        <x:v>GET</x:v>
      </x:c>
      <x:c r="E123" s="33" t="str">
        <x:v>/api/products?sort=unknown</x:v>
      </x:c>
      <x:c r="F123" s="33" t="str">
        <x:v>Validation</x:v>
      </x:c>
      <x:c r="G123" s="34" t="str">
        <x:v>High</x:v>
      </x:c>
      <x:c r="H123" s="33" t="str">
        <x:v>Có JWT customer active; dùng dữ liệu test riêng.</x:v>
      </x:c>
      <x:c r="I123" s="33" t="str">
        <x:v>sort=unknown</x:v>
      </x:c>
      <x:c r="J123" s="33" t="str">
        <x:v>1. Gửi query không hợp lệ.
2. Kiểm tra HTTP/code.
3. Gọi query hợp lệ để xác nhận server còn hoạt động.</x:v>
      </x:c>
      <x:c r="K123" s="34" t="n">
        <x:v>400</x:v>
      </x:c>
      <x:c r="L123" s="33" t="str">
        <x:v>Trả lỗi PRODUCT_FILTER_INVALID; không crash hoặc chuyển thành query không kiểm soát.</x:v>
      </x:c>
      <x:c r="M123" s="30" t="str">
        <x:v>Not Run</x:v>
      </x:c>
      <x:c r="N123" s="33"/>
      <x:c r="O123" s="33"/>
      <x:c r="P123" s="35"/>
      <x:c r="Q123" s="33" t="str"/>
    </x:row>
    <x:row r="124" ht="54" hidden="0" customHeight="1">
      <x:c r="A124" s="28" t="str">
        <x:v>API-119</x:v>
      </x:c>
      <x:c r="B124" s="29" t="str">
        <x:v>Product</x:v>
      </x:c>
      <x:c r="C124" s="29" t="str">
        <x:v>Từ chối bộ lọc category lặp</x:v>
      </x:c>
      <x:c r="D124" s="30" t="str">
        <x:v>GET</x:v>
      </x:c>
      <x:c r="E124" s="29" t="str">
        <x:v>/api/products?category=Cake&amp;category=Cookies</x:v>
      </x:c>
      <x:c r="F124" s="29" t="str">
        <x:v>Validation</x:v>
      </x:c>
      <x:c r="G124" s="30" t="str">
        <x:v>High</x:v>
      </x:c>
      <x:c r="H124" s="29" t="str">
        <x:v>Có JWT customer active; dùng dữ liệu test riêng.</x:v>
      </x:c>
      <x:c r="I124" s="29" t="str">
        <x:v>category=Cake&amp;category=Cookies</x:v>
      </x:c>
      <x:c r="J124" s="29" t="str">
        <x:v>1. Gửi query không hợp lệ.
2. Kiểm tra HTTP/code.
3. Gọi query hợp lệ để xác nhận server còn hoạt động.</x:v>
      </x:c>
      <x:c r="K124" s="30" t="n">
        <x:v>400</x:v>
      </x:c>
      <x:c r="L124" s="29" t="str">
        <x:v>Trả lỗi PRODUCT_FILTER_INVALID; không crash hoặc chuyển thành query không kiểm soát.</x:v>
      </x:c>
      <x:c r="M124" s="30" t="str">
        <x:v>Not Run</x:v>
      </x:c>
      <x:c r="N124" s="29"/>
      <x:c r="O124" s="29"/>
      <x:c r="P124" s="31"/>
      <x:c r="Q124" s="29" t="str"/>
    </x:row>
    <x:row r="125" ht="54" hidden="0" customHeight="1">
      <x:c r="A125" s="32" t="str">
        <x:v>API-120</x:v>
      </x:c>
      <x:c r="B125" s="33" t="str">
        <x:v>Product</x:v>
      </x:c>
      <x:c r="C125" s="33" t="str">
        <x:v>Từ chối bộ lọc trang bằng 0</x:v>
      </x:c>
      <x:c r="D125" s="34" t="str">
        <x:v>GET</x:v>
      </x:c>
      <x:c r="E125" s="33" t="str">
        <x:v>/api/products?page=0</x:v>
      </x:c>
      <x:c r="F125" s="33" t="str">
        <x:v>Validation</x:v>
      </x:c>
      <x:c r="G125" s="34" t="str">
        <x:v>High</x:v>
      </x:c>
      <x:c r="H125" s="33" t="str">
        <x:v>Có JWT customer active; dùng dữ liệu test riêng.</x:v>
      </x:c>
      <x:c r="I125" s="33" t="str">
        <x:v>page=0</x:v>
      </x:c>
      <x:c r="J125" s="33" t="str">
        <x:v>1. Gửi query không hợp lệ.
2. Kiểm tra HTTP/code.
3. Gọi query hợp lệ để xác nhận server còn hoạt động.</x:v>
      </x:c>
      <x:c r="K125" s="34" t="n">
        <x:v>400</x:v>
      </x:c>
      <x:c r="L125" s="33" t="str">
        <x:v>Trả lỗi PRODUCT_FILTER_INVALID; không crash hoặc chuyển thành query không kiểm soát.</x:v>
      </x:c>
      <x:c r="M125" s="30" t="str">
        <x:v>Not Run</x:v>
      </x:c>
      <x:c r="N125" s="33"/>
      <x:c r="O125" s="33"/>
      <x:c r="P125" s="35"/>
      <x:c r="Q125" s="33" t="str"/>
    </x:row>
    <x:row r="126" ht="48" hidden="0" customHeight="1">
      <x:c r="A126" s="28" t="str">
        <x:v>API-121</x:v>
      </x:c>
      <x:c r="B126" s="29" t="str">
        <x:v>Search</x:v>
      </x:c>
      <x:c r="C126" s="29" t="str">
        <x:v>Gợi ý tìm kiếm gồm dữ liệu thật và ID detail</x:v>
      </x:c>
      <x:c r="D126" s="30" t="str">
        <x:v>GET</x:v>
      </x:c>
      <x:c r="E126" s="29" t="str">
        <x:v>/api/products/search?q=cake</x:v>
      </x:c>
      <x:c r="F126" s="29" t="str">
        <x:v>Positive</x:v>
      </x:c>
      <x:c r="G126" s="30" t="str">
        <x:v>High</x:v>
      </x:c>
      <x:c r="H126" s="29" t="str">
        <x:v>Có JWT customer active; dùng dữ liệu test riêng. Có product active tên Cake.</x:v>
      </x:c>
      <x:c r="I126" s="29" t="str">
        <x:v>q=cake; limit=6.</x:v>
      </x:c>
      <x:c r="J126" s="29" t="str">
        <x:v>1. Gửi search.
2. Đối chiếu các trường với DB.
3. GET detail theo id một gợi ý.</x:v>
      </x:c>
      <x:c r="K126" s="30" t="n">
        <x:v>200</x:v>
      </x:c>
      <x:c r="L126" s="29" t="str">
        <x:v>suggestions có id, name, price, image, category, inStock; không trả product inactive.</x:v>
      </x:c>
      <x:c r="M126" s="30" t="str">
        <x:v>Not Run</x:v>
      </x:c>
      <x:c r="N126" s="29"/>
      <x:c r="O126" s="29"/>
      <x:c r="P126" s="31"/>
      <x:c r="Q126" s="29" t="str">
        <x:v>Nguồn: server/services/productSearch.js.</x:v>
      </x:c>
    </x:row>
    <x:row r="127" ht="48" hidden="0" customHeight="1">
      <x:c r="A127" s="32" t="str">
        <x:v>API-122</x:v>
      </x:c>
      <x:c r="B127" s="33" t="str">
        <x:v>Search</x:v>
      </x:c>
      <x:c r="C127" s="33" t="str">
        <x:v>Từ khoá ngắn hơn 2 ký tự</x:v>
      </x:c>
      <x:c r="D127" s="34" t="str">
        <x:v>GET</x:v>
      </x:c>
      <x:c r="E127" s="33" t="str">
        <x:v>/api/products/search</x:v>
      </x:c>
      <x:c r="F127" s="33" t="str">
        <x:v>Boundary</x:v>
      </x:c>
      <x:c r="G127" s="34" t="str">
        <x:v>Medium</x:v>
      </x:c>
      <x:c r="H127" s="33" t="str">
        <x:v>Có JWT customer active; dùng dữ liệu test riêng.</x:v>
      </x:c>
      <x:c r="I127" s="33" t="str">
        <x:v>q=a</x:v>
      </x:c>
      <x:c r="J127" s="33" t="str">
        <x:v>1. Gửi query tại biên không hợp lệ.
2. Kiểm tra message và HTTP.</x:v>
      </x:c>
      <x:c r="K127" s="34" t="n">
        <x:v>400</x:v>
      </x:c>
      <x:c r="L127" s="33" t="str">
        <x:v>Trả INVALID_SEARCH_QUERY; không truy vấn tràn hoặc trả toàn bộ danh mục.</x:v>
      </x:c>
      <x:c r="M127" s="30" t="str">
        <x:v>Not Run</x:v>
      </x:c>
      <x:c r="N127" s="33"/>
      <x:c r="O127" s="33"/>
      <x:c r="P127" s="35"/>
      <x:c r="Q127" s="33" t="str"/>
    </x:row>
    <x:row r="128" ht="48" hidden="0" customHeight="1">
      <x:c r="A128" s="28" t="str">
        <x:v>API-123</x:v>
      </x:c>
      <x:c r="B128" s="29" t="str">
        <x:v>Search</x:v>
      </x:c>
      <x:c r="C128" s="29" t="str">
        <x:v>Từ khoá dài hơn 80 ký tự</x:v>
      </x:c>
      <x:c r="D128" s="30" t="str">
        <x:v>GET</x:v>
      </x:c>
      <x:c r="E128" s="29" t="str">
        <x:v>/api/products/search</x:v>
      </x:c>
      <x:c r="F128" s="29" t="str">
        <x:v>Boundary</x:v>
      </x:c>
      <x:c r="G128" s="30" t="str">
        <x:v>Medium</x:v>
      </x:c>
      <x:c r="H128" s="29" t="str">
        <x:v>Có JWT customer active; dùng dữ liệu test riêng.</x:v>
      </x:c>
      <x:c r="I128" s="29" t="str">
        <x:v>q=xxxxxxxxxxxxxxxxxxxxxxxxxxxxxxxxxxxxxxxxxxxxxxxxxxxxxxxxxxxxxxxxxxxxxxxxxxxxxxxxx</x:v>
      </x:c>
      <x:c r="J128" s="29" t="str">
        <x:v>1. Gửi query tại biên không hợp lệ.
2. Kiểm tra message và HTTP.</x:v>
      </x:c>
      <x:c r="K128" s="30" t="n">
        <x:v>400</x:v>
      </x:c>
      <x:c r="L128" s="29" t="str">
        <x:v>Trả INVALID_SEARCH_QUERY; không truy vấn tràn hoặc trả toàn bộ danh mục.</x:v>
      </x:c>
      <x:c r="M128" s="30" t="str">
        <x:v>Not Run</x:v>
      </x:c>
      <x:c r="N128" s="29"/>
      <x:c r="O128" s="29"/>
      <x:c r="P128" s="31"/>
      <x:c r="Q128" s="29" t="str"/>
    </x:row>
    <x:row r="129" ht="48" hidden="0" customHeight="1">
      <x:c r="A129" s="32" t="str">
        <x:v>API-124</x:v>
      </x:c>
      <x:c r="B129" s="33" t="str">
        <x:v>Search</x:v>
      </x:c>
      <x:c r="C129" s="33" t="str">
        <x:v>Escape ký tự regex trong từ khoá</x:v>
      </x:c>
      <x:c r="D129" s="34" t="str">
        <x:v>GET</x:v>
      </x:c>
      <x:c r="E129" s="33" t="str">
        <x:v>/api/products/search?q=%2E%2A</x:v>
      </x:c>
      <x:c r="F129" s="33" t="str">
        <x:v>Security</x:v>
      </x:c>
      <x:c r="G129" s="34" t="str">
        <x:v>High</x:v>
      </x:c>
      <x:c r="H129" s="33" t="str">
        <x:v>Có JWT customer active; dùng dữ liệu test riêng.</x:v>
      </x:c>
      <x:c r="I129" s="33" t="str">
        <x:v>q=.* hoặc [cake].</x:v>
      </x:c>
      <x:c r="J129" s="33" t="str">
        <x:v>1. Seed SP có/không chứa ký tự đặc biệt.
2. Gọi search literal.
3. So ID khớp thực.</x:v>
      </x:c>
      <x:c r="K129" s="34" t="n">
        <x:v>200</x:v>
      </x:c>
      <x:c r="L129" s="33" t="str">
        <x:v>Tìm ký tự theo nghĩa literal; không coi là regex để trả mọi sản phẩm.</x:v>
      </x:c>
      <x:c r="M129" s="30" t="str">
        <x:v>Not Run</x:v>
      </x:c>
      <x:c r="N129" s="33"/>
      <x:c r="O129" s="33"/>
      <x:c r="P129" s="35"/>
      <x:c r="Q129" s="33" t="str"/>
    </x:row>
    <x:row r="130" ht="48" hidden="0" customHeight="1">
      <x:c r="A130" s="28" t="str">
        <x:v>API-125</x:v>
      </x:c>
      <x:c r="B130" s="29" t="str">
        <x:v>Search</x:v>
      </x:c>
      <x:c r="C130" s="29" t="str">
        <x:v>Giới hạn gợi ý tối đa 10</x:v>
      </x:c>
      <x:c r="D130" s="30" t="str">
        <x:v>GET</x:v>
      </x:c>
      <x:c r="E130" s="29" t="str">
        <x:v>/api/products/search?q=cake&amp;limit=100</x:v>
      </x:c>
      <x:c r="F130" s="29" t="str">
        <x:v>Boundary</x:v>
      </x:c>
      <x:c r="G130" s="30" t="str">
        <x:v>Medium</x:v>
      </x:c>
      <x:c r="H130" s="29" t="str">
        <x:v>Có JWT customer active; dùng dữ liệu test riêng. Hơn 10 SP khớp.</x:v>
      </x:c>
      <x:c r="I130" s="29" t="str">
        <x:v>limit=100.</x:v>
      </x:c>
      <x:c r="J130" s="29" t="str">
        <x:v>1. Gọi API với limit lớn.
2. Đếm suggestions.</x:v>
      </x:c>
      <x:c r="K130" s="30" t="n">
        <x:v>200</x:v>
      </x:c>
      <x:c r="L130" s="29" t="str">
        <x:v>Có tối đa 10 gợi ý; không lộ toàn bộ danh mục.</x:v>
      </x:c>
      <x:c r="M130" s="30" t="str">
        <x:v>Not Run</x:v>
      </x:c>
      <x:c r="N130" s="29"/>
      <x:c r="O130" s="29"/>
      <x:c r="P130" s="31"/>
      <x:c r="Q130" s="29" t="str"/>
    </x:row>
    <x:row r="131" ht="48" hidden="0" customHeight="1">
      <x:c r="A131" s="32" t="str">
        <x:v>API-126</x:v>
      </x:c>
      <x:c r="B131" s="33" t="str">
        <x:v>Search</x:v>
      </x:c>
      <x:c r="C131" s="33" t="str">
        <x:v>Không có sản phẩm phù hợp</x:v>
      </x:c>
      <x:c r="D131" s="34" t="str">
        <x:v>GET</x:v>
      </x:c>
      <x:c r="E131" s="33" t="str">
        <x:v>/api/products/search?q=zzkhongco</x:v>
      </x:c>
      <x:c r="F131" s="33" t="str">
        <x:v>Negative</x:v>
      </x:c>
      <x:c r="G131" s="34" t="str">
        <x:v>Medium</x:v>
      </x:c>
      <x:c r="H131" s="33" t="str">
        <x:v>Có JWT customer active; dùng dữ liệu test riêng.</x:v>
      </x:c>
      <x:c r="I131" s="33" t="str">
        <x:v>Từ khoá không khớp.</x:v>
      </x:c>
      <x:c r="J131" s="33" t="str">
        <x:v>1. Gửi từ khoá không khớp.
2. Kiểm tra mảng rỗng.</x:v>
      </x:c>
      <x:c r="K131" s="34" t="n">
        <x:v>200</x:v>
      </x:c>
      <x:c r="L131" s="33" t="str">
        <x:v>suggestions=[]; không sinh sản phẩm giả.</x:v>
      </x:c>
      <x:c r="M131" s="30" t="str">
        <x:v>Not Run</x:v>
      </x:c>
      <x:c r="N131" s="33"/>
      <x:c r="O131" s="33"/>
      <x:c r="P131" s="35"/>
      <x:c r="Q131" s="33" t="str"/>
    </x:row>
    <x:row r="132" ht="48" hidden="0" customHeight="1">
      <x:c r="A132" s="28" t="str">
        <x:v>API-127</x:v>
      </x:c>
      <x:c r="B132" s="29" t="str">
        <x:v>Product</x:v>
      </x:c>
      <x:c r="C132" s="29" t="str">
        <x:v>Tạo product kèm cân nặng, hạn dùng và thành phần</x:v>
      </x:c>
      <x:c r="D132" s="30" t="str">
        <x:v>POST</x:v>
      </x:c>
      <x:c r="E132" s="29" t="str">
        <x:v>/api/products</x:v>
      </x:c>
      <x:c r="F132" s="29" t="str">
        <x:v>Positive</x:v>
      </x:c>
      <x:c r="G132" s="30" t="str">
        <x:v>High</x:v>
      </x:c>
      <x:c r="H132" s="29" t="str">
        <x:v>Có JWT admin hợp lệ; dùng dữ liệu test riêng.</x:v>
      </x:c>
      <x:c r="I132" s="29" t="str">
        <x:v>Multipart: weightGram=300.5; shelfLifeDays=3; ingredients=["Flour","Butter"]; ảnh hợp lệ.</x:v>
      </x:c>
      <x:c r="J132" s="29" t="str">
        <x:v>1. POST product đầy đủ thông tin.
2. GET /api/products/:id.
3. Đối chiếu ba trường trong DB.</x:v>
      </x:c>
      <x:c r="K132" s="30" t="n">
        <x:v>201</x:v>
      </x:c>
      <x:c r="L132" s="29" t="str">
        <x:v>Lưu weightGram/shelfLifeDays kiểu số, ingredients kiểu mảng; GET detail trả đúng.</x:v>
      </x:c>
      <x:c r="M132" s="30" t="str">
        <x:v>Not Run</x:v>
      </x:c>
      <x:c r="N132" s="29"/>
      <x:c r="O132" s="29"/>
      <x:c r="P132" s="31"/>
      <x:c r="Q132" s="29" t="str">
        <x:v>Nguồn: models/Product.js và getProductPayload trong routes/productRoutes.js.</x:v>
      </x:c>
    </x:row>
    <x:row r="133" ht="48" hidden="0" customHeight="1">
      <x:c r="A133" s="32" t="str">
        <x:v>API-128</x:v>
      </x:c>
      <x:c r="B133" s="33" t="str">
        <x:v>Product</x:v>
      </x:c>
      <x:c r="C133" s="33" t="str">
        <x:v>Sửa ba thông số không làm mất gallery cũ</x:v>
      </x:c>
      <x:c r="D133" s="34" t="str">
        <x:v>PUT</x:v>
      </x:c>
      <x:c r="E133" s="33" t="str">
        <x:v>/api/products/:id</x:v>
      </x:c>
      <x:c r="F133" s="33" t="str">
        <x:v>Regression</x:v>
      </x:c>
      <x:c r="G133" s="34" t="str">
        <x:v>High</x:v>
      </x:c>
      <x:c r="H133" s="33" t="str">
        <x:v>Có JWT admin hợp lệ; dùng dữ liệu test riêng. Product có hai ảnh cũ.</x:v>
      </x:c>
      <x:c r="I133" s="33" t="str">
        <x:v>weightGram=250; shelfLifeDays=5; ingredients=["Cocoa"]; không gửi file.</x:v>
      </x:c>
      <x:c r="J133" s="33" t="str">
        <x:v>1. Đọc gallery trước.
2. PUT các thông số, không gửi ảnh.
3. Đọc lại và so gallery.</x:v>
      </x:c>
      <x:c r="K133" s="34" t="n">
        <x:v>200</x:v>
      </x:c>
      <x:c r="L133" s="33" t="str">
        <x:v>Cập nhật thông số; giữ nguyên toàn bộ images cũ theo đúng thứ tự.</x:v>
      </x:c>
      <x:c r="M133" s="30" t="str">
        <x:v>Not Run</x:v>
      </x:c>
      <x:c r="N133" s="33"/>
      <x:c r="O133" s="33"/>
      <x:c r="P133" s="35"/>
      <x:c r="Q133" s="33" t="str"/>
    </x:row>
    <x:row r="134" ht="48" hidden="0" customHeight="1">
      <x:c r="A134" s="28" t="str">
        <x:v>API-129</x:v>
      </x:c>
      <x:c r="B134" s="29" t="str">
        <x:v>Product</x:v>
      </x:c>
      <x:c r="C134" s="29" t="str">
        <x:v>Xoá giá trị thông số đã lưu</x:v>
      </x:c>
      <x:c r="D134" s="30" t="str">
        <x:v>PUT</x:v>
      </x:c>
      <x:c r="E134" s="29" t="str">
        <x:v>/api/products/:id</x:v>
      </x:c>
      <x:c r="F134" s="29" t="str">
        <x:v>Boundary</x:v>
      </x:c>
      <x:c r="G134" s="30" t="str">
        <x:v>Medium</x:v>
      </x:c>
      <x:c r="H134" s="29" t="str">
        <x:v>Có JWT admin hợp lệ; dùng dữ liệu test riêng. Product có đủ ba thông số.</x:v>
      </x:c>
      <x:c r="I134" s="29" t="str">
        <x:v>weightGram=""; shelfLifeDays=""; ingredients="[]".</x:v>
      </x:c>
      <x:c r="J134" s="29" t="str">
        <x:v>1. Gửi trường rỗng qua multipart.
2. GET detail.
3. Kiểm tra giá trị đã được xoá.</x:v>
      </x:c>
      <x:c r="K134" s="30" t="n">
        <x:v>200</x:v>
      </x:c>
      <x:c r="L134" s="29" t="str">
        <x:v>Hai trường số trở thành null, thành phần thành []; không giữ lại giá trị cũ.</x:v>
      </x:c>
      <x:c r="M134" s="30" t="str">
        <x:v>Not Run</x:v>
      </x:c>
      <x:c r="N134" s="29"/>
      <x:c r="O134" s="29"/>
      <x:c r="P134" s="31"/>
      <x:c r="Q134" s="29" t="str"/>
    </x:row>
    <x:row r="135" ht="48" hidden="0" customHeight="1">
      <x:c r="A135" s="32" t="str">
        <x:v>API-130</x:v>
      </x:c>
      <x:c r="B135" s="33" t="str">
        <x:v>Product</x:v>
      </x:c>
      <x:c r="C135" s="33" t="str">
        <x:v>Không chấp nhận cân nặng/hạn dùng âm</x:v>
      </x:c>
      <x:c r="D135" s="34" t="str">
        <x:v>POST</x:v>
      </x:c>
      <x:c r="E135" s="33" t="str">
        <x:v>/api/products</x:v>
      </x:c>
      <x:c r="F135" s="33" t="str">
        <x:v>Validation</x:v>
      </x:c>
      <x:c r="G135" s="34" t="str">
        <x:v>High</x:v>
      </x:c>
      <x:c r="H135" s="33" t="str">
        <x:v>Có JWT admin hợp lệ; dùng dữ liệu test riêng.</x:v>
      </x:c>
      <x:c r="I135" s="33" t="str">
        <x:v>Payload product hợp lệ trừ weightGram=-1 hoặc shelfLifeDays=-1.</x:v>
      </x:c>
      <x:c r="J135" s="33" t="str">
        <x:v>1. Thử từng trường âm độc lập.
2. So số product trước/sau.</x:v>
      </x:c>
      <x:c r="K135" s="34" t="n">
        <x:v>400</x:v>
      </x:c>
      <x:c r="L135" s="33" t="str">
        <x:v>Không tạo product; trả lỗi validation cho trường âm.</x:v>
      </x:c>
      <x:c r="M135" s="30" t="str">
        <x:v>Not Run</x:v>
      </x:c>
      <x:c r="N135" s="33"/>
      <x:c r="O135" s="33"/>
      <x:c r="P135" s="35"/>
      <x:c r="Q135" s="33" t="str"/>
    </x:row>
    <x:row r="136" ht="48" hidden="0" customHeight="1">
      <x:c r="A136" s="28" t="str">
        <x:v>API-131</x:v>
      </x:c>
      <x:c r="B136" s="29" t="str">
        <x:v>Product</x:v>
      </x:c>
      <x:c r="C136" s="29" t="str">
        <x:v>Kiểm tra số lượng bằng 0</x:v>
      </x:c>
      <x:c r="D136" s="30" t="str">
        <x:v>PUT</x:v>
      </x:c>
      <x:c r="E136" s="29" t="str">
        <x:v>/api/products/:id</x:v>
      </x:c>
      <x:c r="F136" s="29" t="str">
        <x:v>Boundary</x:v>
      </x:c>
      <x:c r="G136" s="30" t="str">
        <x:v>High</x:v>
      </x:c>
      <x:c r="H136" s="29" t="str">
        <x:v>Có JWT admin hợp lệ; dùng dữ liệu test riêng.</x:v>
      </x:c>
      <x:c r="I136" s="29" t="str">
        <x:v>stock=0</x:v>
      </x:c>
      <x:c r="J136" s="29" t="str">
        <x:v>1. Đọc stock ban đầu.
2. PUT stock thử nghiệm.
3. Đọc lại product.</x:v>
      </x:c>
      <x:c r="K136" s="30" t="n">
        <x:v>200</x:v>
      </x:c>
      <x:c r="L136" s="29" t="str">
        <x:v>Lưu tồn kho bằng 0; khách không thể mua sản phẩm này.</x:v>
      </x:c>
      <x:c r="M136" s="30" t="str">
        <x:v>Not Run</x:v>
      </x:c>
      <x:c r="N136" s="29"/>
      <x:c r="O136" s="29"/>
      <x:c r="P136" s="31"/>
      <x:c r="Q136" s="29" t="str"/>
    </x:row>
    <x:row r="137" ht="48" hidden="0" customHeight="1">
      <x:c r="A137" s="32" t="str">
        <x:v>API-132</x:v>
      </x:c>
      <x:c r="B137" s="33" t="str">
        <x:v>Product</x:v>
      </x:c>
      <x:c r="C137" s="33" t="str">
        <x:v>Kiểm tra số lượng lẻ</x:v>
      </x:c>
      <x:c r="D137" s="34" t="str">
        <x:v>PUT</x:v>
      </x:c>
      <x:c r="E137" s="33" t="str">
        <x:v>/api/products/:id</x:v>
      </x:c>
      <x:c r="F137" s="33" t="str">
        <x:v>Boundary</x:v>
      </x:c>
      <x:c r="G137" s="34" t="str">
        <x:v>High</x:v>
      </x:c>
      <x:c r="H137" s="33" t="str">
        <x:v>Có JWT admin hợp lệ; dùng dữ liệu test riêng.</x:v>
      </x:c>
      <x:c r="I137" s="33" t="str">
        <x:v>stock=1.5</x:v>
      </x:c>
      <x:c r="J137" s="33" t="str">
        <x:v>1. Đọc stock ban đầu.
2. PUT stock thử nghiệm.
3. Đọc lại product.</x:v>
      </x:c>
      <x:c r="K137" s="34" t="n">
        <x:v>400</x:v>
      </x:c>
      <x:c r="L137" s="33" t="str">
        <x:v>Từ chối; stock cũ không bị thay đổi.</x:v>
      </x:c>
      <x:c r="M137" s="30" t="str">
        <x:v>Not Run</x:v>
      </x:c>
      <x:c r="N137" s="33"/>
      <x:c r="O137" s="33"/>
      <x:c r="P137" s="35"/>
      <x:c r="Q137" s="33" t="str"/>
    </x:row>
    <x:row r="138" ht="48" hidden="0" customHeight="1">
      <x:c r="A138" s="28" t="str">
        <x:v>API-133</x:v>
      </x:c>
      <x:c r="B138" s="29" t="str">
        <x:v>Product</x:v>
      </x:c>
      <x:c r="C138" s="29" t="str">
        <x:v>Kiểm tra số lượng âm</x:v>
      </x:c>
      <x:c r="D138" s="30" t="str">
        <x:v>PUT</x:v>
      </x:c>
      <x:c r="E138" s="29" t="str">
        <x:v>/api/products/:id</x:v>
      </x:c>
      <x:c r="F138" s="29" t="str">
        <x:v>Boundary</x:v>
      </x:c>
      <x:c r="G138" s="30" t="str">
        <x:v>High</x:v>
      </x:c>
      <x:c r="H138" s="29" t="str">
        <x:v>Có JWT admin hợp lệ; dùng dữ liệu test riêng.</x:v>
      </x:c>
      <x:c r="I138" s="29" t="str">
        <x:v>stock=-1</x:v>
      </x:c>
      <x:c r="J138" s="29" t="str">
        <x:v>1. Đọc stock ban đầu.
2. PUT stock thử nghiệm.
3. Đọc lại product.</x:v>
      </x:c>
      <x:c r="K138" s="30" t="n">
        <x:v>400</x:v>
      </x:c>
      <x:c r="L138" s="29" t="str">
        <x:v>Từ chối; stock cũ không bị thay đổi.</x:v>
      </x:c>
      <x:c r="M138" s="30" t="str">
        <x:v>Not Run</x:v>
      </x:c>
      <x:c r="N138" s="29"/>
      <x:c r="O138" s="29"/>
      <x:c r="P138" s="31"/>
      <x:c r="Q138" s="29" t="str"/>
    </x:row>
    <x:row r="139" ht="48" hidden="0" customHeight="1">
      <x:c r="A139" s="32" t="str">
        <x:v>API-134</x:v>
      </x:c>
      <x:c r="B139" s="33" t="str">
        <x:v>Product</x:v>
      </x:c>
      <x:c r="C139" s="33" t="str">
        <x:v>Kiểm tra số lượng không an toàn</x:v>
      </x:c>
      <x:c r="D139" s="34" t="str">
        <x:v>PUT</x:v>
      </x:c>
      <x:c r="E139" s="33" t="str">
        <x:v>/api/products/:id</x:v>
      </x:c>
      <x:c r="F139" s="33" t="str">
        <x:v>Boundary</x:v>
      </x:c>
      <x:c r="G139" s="34" t="str">
        <x:v>High</x:v>
      </x:c>
      <x:c r="H139" s="33" t="str">
        <x:v>Có JWT admin hợp lệ; dùng dữ liệu test riêng.</x:v>
      </x:c>
      <x:c r="I139" s="33" t="str">
        <x:v>stock=9007199254740992</x:v>
      </x:c>
      <x:c r="J139" s="33" t="str">
        <x:v>1. Đọc stock ban đầu.
2. PUT stock thử nghiệm.
3. Đọc lại product.</x:v>
      </x:c>
      <x:c r="K139" s="34" t="n">
        <x:v>400</x:v>
      </x:c>
      <x:c r="L139" s="33" t="str">
        <x:v>Từ chối; stock cũ không bị thay đổi.</x:v>
      </x:c>
      <x:c r="M139" s="30" t="str">
        <x:v>Not Run</x:v>
      </x:c>
      <x:c r="N139" s="33"/>
      <x:c r="O139" s="33"/>
      <x:c r="P139" s="35"/>
      <x:c r="Q139" s="33" t="str"/>
    </x:row>
    <x:row r="140" ht="54" hidden="0" customHeight="1">
      <x:c r="A140" s="28" t="str">
        <x:v>API-135</x:v>
      </x:c>
      <x:c r="B140" s="29" t="str">
        <x:v>Product</x:v>
      </x:c>
      <x:c r="C140" s="29" t="str">
        <x:v>Thay gallery bằng file mới</x:v>
      </x:c>
      <x:c r="D140" s="30" t="str">
        <x:v>PUT</x:v>
      </x:c>
      <x:c r="E140" s="29" t="str">
        <x:v>/api/products/:id</x:v>
      </x:c>
      <x:c r="F140" s="29" t="str">
        <x:v>Integration</x:v>
      </x:c>
      <x:c r="G140" s="30" t="str">
        <x:v>High</x:v>
      </x:c>
      <x:c r="H140" s="29" t="str">
        <x:v>Có JWT admin hợp lệ; dùng dữ liệu test riêng. Product có gallery cũ.</x:v>
      </x:c>
      <x:c r="I140" s="29" t="str">
        <x:v>Multipart images: new-1.png, new-2.jpg.</x:v>
      </x:c>
      <x:c r="J140" s="29" t="str">
        <x:v>1. PUT hai file mới.
2. GET detail.
3. Kiểm tra URL truy cập được và thứ tự ảnh.</x:v>
      </x:c>
      <x:c r="K140" s="30" t="n">
        <x:v>200</x:v>
      </x:c>
      <x:c r="L140" s="29" t="str">
        <x:v>Gallery chỉ chứa ảnh mới theo thứ tự upload, không trộn ảnh cũ.</x:v>
      </x:c>
      <x:c r="M140" s="30" t="str">
        <x:v>Not Run</x:v>
      </x:c>
      <x:c r="N140" s="29"/>
      <x:c r="O140" s="29"/>
      <x:c r="P140" s="31"/>
      <x:c r="Q140" s="29" t="str"/>
    </x:row>
    <x:row r="141" ht="48" hidden="0" customHeight="1">
      <x:c r="A141" s="32" t="str">
        <x:v>API-136</x:v>
      </x:c>
      <x:c r="B141" s="33" t="str">
        <x:v>Product</x:v>
      </x:c>
      <x:c r="C141" s="33" t="str">
        <x:v>Upload product: quá 10 ảnh</x:v>
      </x:c>
      <x:c r="D141" s="34" t="str">
        <x:v>POST</x:v>
      </x:c>
      <x:c r="E141" s="33" t="str">
        <x:v>/api/products</x:v>
      </x:c>
      <x:c r="F141" s="33" t="str">
        <x:v>Validation</x:v>
      </x:c>
      <x:c r="G141" s="34" t="str">
        <x:v>High</x:v>
      </x:c>
      <x:c r="H141" s="33" t="str">
        <x:v>Có JWT admin hợp lệ; dùng dữ liệu test riêng.</x:v>
      </x:c>
      <x:c r="I141" s="33" t="str">
        <x:v>11 file PNG</x:v>
      </x:c>
      <x:c r="J141" s="33" t="str">
        <x:v>1. Gửi multipart vi phạm.
2. Kiểm tra HTTP.
3. Xác nhận không tạo product.</x:v>
      </x:c>
      <x:c r="K141" s="34" t="str">
        <x:v>4xx</x:v>
      </x:c>
      <x:c r="L141" s="33" t="str">
        <x:v>Từ chối upload; không tạo product hoặc gallery không hợp lệ.</x:v>
      </x:c>
      <x:c r="M141" s="30" t="str">
        <x:v>Not Run</x:v>
      </x:c>
      <x:c r="N141" s="33"/>
      <x:c r="O141" s="33"/>
      <x:c r="P141" s="35"/>
      <x:c r="Q141" s="33" t="str">
        <x:v>Nếu server trả 500, ghi Failed và lưu response; không sửa kết quả thực tế thành kỳ vọng.</x:v>
      </x:c>
    </x:row>
    <x:row r="142" ht="48" hidden="0" customHeight="1">
      <x:c r="A142" s="28" t="str">
        <x:v>API-137</x:v>
      </x:c>
      <x:c r="B142" s="29" t="str">
        <x:v>Product</x:v>
      </x:c>
      <x:c r="C142" s="29" t="str">
        <x:v>Upload product: ảnh quá dung lượng</x:v>
      </x:c>
      <x:c r="D142" s="30" t="str">
        <x:v>POST</x:v>
      </x:c>
      <x:c r="E142" s="29" t="str">
        <x:v>/api/products</x:v>
      </x:c>
      <x:c r="F142" s="29" t="str">
        <x:v>Validation</x:v>
      </x:c>
      <x:c r="G142" s="30" t="str">
        <x:v>High</x:v>
      </x:c>
      <x:c r="H142" s="29" t="str">
        <x:v>Có JWT admin hợp lệ; dùng dữ liệu test riêng.</x:v>
      </x:c>
      <x:c r="I142" s="29" t="str">
        <x:v>1 file PNG &gt;5 MB</x:v>
      </x:c>
      <x:c r="J142" s="29" t="str">
        <x:v>1. Gửi multipart vi phạm.
2. Kiểm tra HTTP.
3. Xác nhận không tạo product.</x:v>
      </x:c>
      <x:c r="K142" s="30" t="str">
        <x:v>4xx</x:v>
      </x:c>
      <x:c r="L142" s="29" t="str">
        <x:v>Từ chối upload; không tạo product hoặc gallery không hợp lệ.</x:v>
      </x:c>
      <x:c r="M142" s="30" t="str">
        <x:v>Not Run</x:v>
      </x:c>
      <x:c r="N142" s="29"/>
      <x:c r="O142" s="29"/>
      <x:c r="P142" s="31"/>
      <x:c r="Q142" s="29" t="str">
        <x:v>Nếu server trả 500, ghi Failed và lưu response; không sửa kết quả thực tế thành kỳ vọng.</x:v>
      </x:c>
    </x:row>
    <x:row r="143" ht="48" hidden="0" customHeight="1">
      <x:c r="A143" s="32" t="str">
        <x:v>API-138</x:v>
      </x:c>
      <x:c r="B143" s="33" t="str">
        <x:v>Product</x:v>
      </x:c>
      <x:c r="C143" s="33" t="str">
        <x:v>Upload product: file không phải ảnh</x:v>
      </x:c>
      <x:c r="D143" s="34" t="str">
        <x:v>POST</x:v>
      </x:c>
      <x:c r="E143" s="33" t="str">
        <x:v>/api/products</x:v>
      </x:c>
      <x:c r="F143" s="33" t="str">
        <x:v>Validation</x:v>
      </x:c>
      <x:c r="G143" s="34" t="str">
        <x:v>High</x:v>
      </x:c>
      <x:c r="H143" s="33" t="str">
        <x:v>Có JWT admin hợp lệ; dùng dữ liệu test riêng.</x:v>
      </x:c>
      <x:c r="I143" s="33" t="str">
        <x:v>1 file text/plain</x:v>
      </x:c>
      <x:c r="J143" s="33" t="str">
        <x:v>1. Gửi multipart vi phạm.
2. Kiểm tra HTTP.
3. Xác nhận không tạo product.</x:v>
      </x:c>
      <x:c r="K143" s="34" t="str">
        <x:v>4xx</x:v>
      </x:c>
      <x:c r="L143" s="33" t="str">
        <x:v>Từ chối upload; không tạo product hoặc gallery không hợp lệ.</x:v>
      </x:c>
      <x:c r="M143" s="30" t="str">
        <x:v>Not Run</x:v>
      </x:c>
      <x:c r="N143" s="33"/>
      <x:c r="O143" s="33"/>
      <x:c r="P143" s="35"/>
      <x:c r="Q143" s="33" t="str">
        <x:v>Nếu server trả 500, ghi Failed và lưu response; không sửa kết quả thực tế thành kỳ vọng.</x:v>
      </x:c>
    </x:row>
    <x:row r="144" ht="54" hidden="0" customHeight="1">
      <x:c r="A144" s="28" t="str">
        <x:v>API-139</x:v>
      </x:c>
      <x:c r="B144" s="29" t="str">
        <x:v>Review</x:v>
      </x:c>
      <x:c r="C144" s="29" t="str">
        <x:v>Eligibility khi chưa mua sản phẩm</x:v>
      </x:c>
      <x:c r="D144" s="30" t="str">
        <x:v>GET</x:v>
      </x:c>
      <x:c r="E144" s="29" t="str">
        <x:v>/api/products/:id/reviews/eligibility</x:v>
      </x:c>
      <x:c r="F144" s="29" t="str">
        <x:v>Business Rule</x:v>
      </x:c>
      <x:c r="G144" s="30" t="str">
        <x:v>Critical</x:v>
      </x:c>
      <x:c r="H144" s="29" t="str">
        <x:v>Có JWT customer active; dùng dữ liệu test riêng. Chưa có đơn chứa product.</x:v>
      </x:c>
      <x:c r="I144" s="29" t="str">
        <x:v>Product ID hợp lệ.</x:v>
      </x:c>
      <x:c r="J144" s="29" t="str">
        <x:v>1. Thêm SP vào giỏ nhưng không đặt.
2. Gọi eligibility.
3. Đọc canReview/reason.</x:v>
      </x:c>
      <x:c r="K144" s="30" t="n">
        <x:v>200</x:v>
      </x:c>
      <x:c r="L144" s="29" t="str">
        <x:v>canReview=false; reason=PURCHASE_REQUIRED; không chỉ dựa vào giỏ hàng/yêu thích.</x:v>
      </x:c>
      <x:c r="M144" s="30" t="str">
        <x:v>Not Run</x:v>
      </x:c>
      <x:c r="N144" s="29"/>
      <x:c r="O144" s="29"/>
      <x:c r="P144" s="31"/>
      <x:c r="Q144" s="29" t="str">
        <x:v>Nguồn: services/productReviews.js; docs/PRODUCT_REVIEWS.md.</x:v>
      </x:c>
    </x:row>
    <x:row r="145" ht="48" hidden="0" customHeight="1">
      <x:c r="A145" s="32" t="str">
        <x:v>API-140</x:v>
      </x:c>
      <x:c r="B145" s="33" t="str">
        <x:v>Review</x:v>
      </x:c>
      <x:c r="C145" s="33" t="str">
        <x:v>Eligibility COD/Pending/In Progress</x:v>
      </x:c>
      <x:c r="D145" s="34" t="str">
        <x:v>GET</x:v>
      </x:c>
      <x:c r="E145" s="33" t="str">
        <x:v>/api/products/:id/reviews/eligibility</x:v>
      </x:c>
      <x:c r="F145" s="33" t="str">
        <x:v>Business Rule</x:v>
      </x:c>
      <x:c r="G145" s="34" t="str">
        <x:v>Critical</x:v>
      </x:c>
      <x:c r="H145" s="33" t="str">
        <x:v>Có JWT customer active; dùng dữ liệu test riêng. Đơn của chính user chứa đúng SP; chưa review.</x:v>
      </x:c>
      <x:c r="I145" s="33" t="str">
        <x:v>paymentMethod=COD; paymentStatus=Pending; status=In Progress.</x:v>
      </x:c>
      <x:c r="J145" s="33" t="str">
        <x:v>1. Chuẩn bị đơn test theo trạng thái.
2. Gọi eligibility.
3. Đối chiếu canReview với điều kiện đơn.</x:v>
      </x:c>
      <x:c r="K145" s="34" t="n">
        <x:v>200</x:v>
      </x:c>
      <x:c r="L145" s="33" t="str">
        <x:v>canReview=true; cho phép gửi đánh giá.</x:v>
      </x:c>
      <x:c r="M145" s="30" t="str">
        <x:v>Not Run</x:v>
      </x:c>
      <x:c r="N145" s="33"/>
      <x:c r="O145" s="33"/>
      <x:c r="P145" s="35"/>
      <x:c r="Q145" s="33" t="str"/>
    </x:row>
    <x:row r="146" ht="48" hidden="0" customHeight="1">
      <x:c r="A146" s="28" t="str">
        <x:v>API-141</x:v>
      </x:c>
      <x:c r="B146" s="29" t="str">
        <x:v>Review</x:v>
      </x:c>
      <x:c r="C146" s="29" t="str">
        <x:v>Eligibility Visa/Paid/In Progress</x:v>
      </x:c>
      <x:c r="D146" s="30" t="str">
        <x:v>GET</x:v>
      </x:c>
      <x:c r="E146" s="29" t="str">
        <x:v>/api/products/:id/reviews/eligibility</x:v>
      </x:c>
      <x:c r="F146" s="29" t="str">
        <x:v>Business Rule</x:v>
      </x:c>
      <x:c r="G146" s="30" t="str">
        <x:v>Critical</x:v>
      </x:c>
      <x:c r="H146" s="29" t="str">
        <x:v>Có JWT customer active; dùng dữ liệu test riêng. Đơn của chính user chứa đúng SP; chưa review.</x:v>
      </x:c>
      <x:c r="I146" s="29" t="str">
        <x:v>paymentMethod=Visa; paymentStatus=Paid; status=In Progress.</x:v>
      </x:c>
      <x:c r="J146" s="29" t="str">
        <x:v>1. Chuẩn bị đơn test theo trạng thái.
2. Gọi eligibility.
3. Đối chiếu canReview với điều kiện đơn.</x:v>
      </x:c>
      <x:c r="K146" s="30" t="n">
        <x:v>200</x:v>
      </x:c>
      <x:c r="L146" s="29" t="str">
        <x:v>canReview=true; cho phép gửi đánh giá.</x:v>
      </x:c>
      <x:c r="M146" s="30" t="str">
        <x:v>Not Run</x:v>
      </x:c>
      <x:c r="N146" s="29"/>
      <x:c r="O146" s="29"/>
      <x:c r="P146" s="31"/>
      <x:c r="Q146" s="29" t="str"/>
    </x:row>
    <x:row r="147" ht="48" hidden="0" customHeight="1">
      <x:c r="A147" s="32" t="str">
        <x:v>API-142</x:v>
      </x:c>
      <x:c r="B147" s="33" t="str">
        <x:v>Review</x:v>
      </x:c>
      <x:c r="C147" s="33" t="str">
        <x:v>Eligibility ZaloPay/Pending/In Progress</x:v>
      </x:c>
      <x:c r="D147" s="34" t="str">
        <x:v>GET</x:v>
      </x:c>
      <x:c r="E147" s="33" t="str">
        <x:v>/api/products/:id/reviews/eligibility</x:v>
      </x:c>
      <x:c r="F147" s="33" t="str">
        <x:v>Business Rule</x:v>
      </x:c>
      <x:c r="G147" s="34" t="str">
        <x:v>Critical</x:v>
      </x:c>
      <x:c r="H147" s="33" t="str">
        <x:v>Có JWT customer active; dùng dữ liệu test riêng. Đơn của chính user chứa đúng SP; chưa review.</x:v>
      </x:c>
      <x:c r="I147" s="33" t="str">
        <x:v>paymentMethod=ZaloPay; paymentStatus=Pending; status=In Progress.</x:v>
      </x:c>
      <x:c r="J147" s="33" t="str">
        <x:v>1. Chuẩn bị đơn test theo trạng thái.
2. Gọi eligibility.
3. Đối chiếu canReview với điều kiện đơn.</x:v>
      </x:c>
      <x:c r="K147" s="34" t="n">
        <x:v>200</x:v>
      </x:c>
      <x:c r="L147" s="33" t="str">
        <x:v>canReview=false; không cho đánh giá bằng đơn không đủ điều kiện.</x:v>
      </x:c>
      <x:c r="M147" s="30" t="str">
        <x:v>Not Run</x:v>
      </x:c>
      <x:c r="N147" s="33"/>
      <x:c r="O147" s="33"/>
      <x:c r="P147" s="35"/>
      <x:c r="Q147" s="33" t="str"/>
    </x:row>
    <x:row r="148" ht="48" hidden="0" customHeight="1">
      <x:c r="A148" s="28" t="str">
        <x:v>API-143</x:v>
      </x:c>
      <x:c r="B148" s="29" t="str">
        <x:v>Review</x:v>
      </x:c>
      <x:c r="C148" s="29" t="str">
        <x:v>Eligibility COD/Pending/Cancelled</x:v>
      </x:c>
      <x:c r="D148" s="30" t="str">
        <x:v>GET</x:v>
      </x:c>
      <x:c r="E148" s="29" t="str">
        <x:v>/api/products/:id/reviews/eligibility</x:v>
      </x:c>
      <x:c r="F148" s="29" t="str">
        <x:v>Business Rule</x:v>
      </x:c>
      <x:c r="G148" s="30" t="str">
        <x:v>Critical</x:v>
      </x:c>
      <x:c r="H148" s="29" t="str">
        <x:v>Có JWT customer active; dùng dữ liệu test riêng. Đơn của chính user chứa đúng SP; chưa review.</x:v>
      </x:c>
      <x:c r="I148" s="29" t="str">
        <x:v>paymentMethod=COD; paymentStatus=Pending; status=Cancelled.</x:v>
      </x:c>
      <x:c r="J148" s="29" t="str">
        <x:v>1. Chuẩn bị đơn test theo trạng thái.
2. Gọi eligibility.
3. Đối chiếu canReview với điều kiện đơn.</x:v>
      </x:c>
      <x:c r="K148" s="30" t="n">
        <x:v>200</x:v>
      </x:c>
      <x:c r="L148" s="29" t="str">
        <x:v>canReview=false; không cho đánh giá bằng đơn không đủ điều kiện.</x:v>
      </x:c>
      <x:c r="M148" s="30" t="str">
        <x:v>Not Run</x:v>
      </x:c>
      <x:c r="N148" s="29"/>
      <x:c r="O148" s="29"/>
      <x:c r="P148" s="31"/>
      <x:c r="Q148" s="29" t="str"/>
    </x:row>
    <x:row r="149" ht="48" hidden="0" customHeight="1">
      <x:c r="A149" s="32" t="str">
        <x:v>API-144</x:v>
      </x:c>
      <x:c r="B149" s="33" t="str">
        <x:v>Review</x:v>
      </x:c>
      <x:c r="C149" s="33" t="str">
        <x:v>Eligibility Visa/Failed/Failed</x:v>
      </x:c>
      <x:c r="D149" s="34" t="str">
        <x:v>GET</x:v>
      </x:c>
      <x:c r="E149" s="33" t="str">
        <x:v>/api/products/:id/reviews/eligibility</x:v>
      </x:c>
      <x:c r="F149" s="33" t="str">
        <x:v>Business Rule</x:v>
      </x:c>
      <x:c r="G149" s="34" t="str">
        <x:v>Critical</x:v>
      </x:c>
      <x:c r="H149" s="33" t="str">
        <x:v>Có JWT customer active; dùng dữ liệu test riêng. Đơn của chính user chứa đúng SP; chưa review.</x:v>
      </x:c>
      <x:c r="I149" s="33" t="str">
        <x:v>paymentMethod=Visa; paymentStatus=Failed; status=Failed.</x:v>
      </x:c>
      <x:c r="J149" s="33" t="str">
        <x:v>1. Chuẩn bị đơn test theo trạng thái.
2. Gọi eligibility.
3. Đối chiếu canReview với điều kiện đơn.</x:v>
      </x:c>
      <x:c r="K149" s="34" t="n">
        <x:v>200</x:v>
      </x:c>
      <x:c r="L149" s="33" t="str">
        <x:v>canReview=false; không cho đánh giá bằng đơn không đủ điều kiện.</x:v>
      </x:c>
      <x:c r="M149" s="30" t="str">
        <x:v>Not Run</x:v>
      </x:c>
      <x:c r="N149" s="33"/>
      <x:c r="O149" s="33"/>
      <x:c r="P149" s="35"/>
      <x:c r="Q149" s="33" t="str"/>
    </x:row>
    <x:row r="150" ht="48" hidden="0" customHeight="1">
      <x:c r="A150" s="28" t="str">
        <x:v>API-145</x:v>
      </x:c>
      <x:c r="B150" s="29" t="str">
        <x:v>Review</x:v>
      </x:c>
      <x:c r="C150" s="29" t="str">
        <x:v>Eligibility Visa/Refunded/Delivered</x:v>
      </x:c>
      <x:c r="D150" s="30" t="str">
        <x:v>GET</x:v>
      </x:c>
      <x:c r="E150" s="29" t="str">
        <x:v>/api/products/:id/reviews/eligibility</x:v>
      </x:c>
      <x:c r="F150" s="29" t="str">
        <x:v>Business Rule</x:v>
      </x:c>
      <x:c r="G150" s="30" t="str">
        <x:v>Critical</x:v>
      </x:c>
      <x:c r="H150" s="29" t="str">
        <x:v>Có JWT customer active; dùng dữ liệu test riêng. Đơn của chính user chứa đúng SP; chưa review.</x:v>
      </x:c>
      <x:c r="I150" s="29" t="str">
        <x:v>paymentMethod=Visa; paymentStatus=Refunded; status=Delivered.</x:v>
      </x:c>
      <x:c r="J150" s="29" t="str">
        <x:v>1. Chuẩn bị đơn test theo trạng thái.
2. Gọi eligibility.
3. Đối chiếu canReview với điều kiện đơn.</x:v>
      </x:c>
      <x:c r="K150" s="30" t="n">
        <x:v>200</x:v>
      </x:c>
      <x:c r="L150" s="29" t="str">
        <x:v>canReview=false; không cho đánh giá bằng đơn không đủ điều kiện.</x:v>
      </x:c>
      <x:c r="M150" s="30" t="str">
        <x:v>Not Run</x:v>
      </x:c>
      <x:c r="N150" s="29"/>
      <x:c r="O150" s="29"/>
      <x:c r="P150" s="31"/>
      <x:c r="Q150" s="29" t="str"/>
    </x:row>
    <x:row r="151" ht="48" hidden="0" customHeight="1">
      <x:c r="A151" s="32" t="str">
        <x:v>API-146</x:v>
      </x:c>
      <x:c r="B151" s="33" t="str">
        <x:v>Review</x:v>
      </x:c>
      <x:c r="C151" s="33" t="str">
        <x:v>POST review trực tiếp không có đơn đủ điều kiện</x:v>
      </x:c>
      <x:c r="D151" s="34" t="str">
        <x:v>POST</x:v>
      </x:c>
      <x:c r="E151" s="33" t="str">
        <x:v>/api/products/:id/reviews</x:v>
      </x:c>
      <x:c r="F151" s="33" t="str">
        <x:v>Security</x:v>
      </x:c>
      <x:c r="G151" s="34" t="str">
        <x:v>Critical</x:v>
      </x:c>
      <x:c r="H151" s="33" t="str">
        <x:v>Có JWT customer active; dùng dữ liệu test riêng. Không có đơn đủ điều kiện.</x:v>
      </x:c>
      <x:c r="I151" s="33" t="str">
        <x:v>{rating:5,comment:"Fresh cake"}</x:v>
      </x:c>
      <x:c r="J151" s="33" t="str">
        <x:v>1. Bỏ qua form UI và POST trực tiếp.
2. Đếm review trước/sau.</x:v>
      </x:c>
      <x:c r="K151" s="34" t="n">
        <x:v>403</x:v>
      </x:c>
      <x:c r="L151" s="33" t="str">
        <x:v>REVIEW_PURCHASE_REQUIRED; không thêm review dù sửa DOM hoặc gọi Postman.</x:v>
      </x:c>
      <x:c r="M151" s="30" t="str">
        <x:v>Not Run</x:v>
      </x:c>
      <x:c r="N151" s="33"/>
      <x:c r="O151" s="33"/>
      <x:c r="P151" s="35"/>
      <x:c r="Q151" s="33" t="str"/>
    </x:row>
    <x:row r="152" ht="48" hidden="0" customHeight="1">
      <x:c r="A152" s="28" t="str">
        <x:v>API-147</x:v>
      </x:c>
      <x:c r="B152" s="29" t="str">
        <x:v>Review</x:v>
      </x:c>
      <x:c r="C152" s="29" t="str">
        <x:v>Đơn của người khác không mở quyền đánh giá</x:v>
      </x:c>
      <x:c r="D152" s="30" t="str">
        <x:v>GET</x:v>
      </x:c>
      <x:c r="E152" s="29" t="str">
        <x:v>/api/products/:id/reviews/eligibility</x:v>
      </x:c>
      <x:c r="F152" s="29" t="str">
        <x:v>Security</x:v>
      </x:c>
      <x:c r="G152" s="30" t="str">
        <x:v>Critical</x:v>
      </x:c>
      <x:c r="H152" s="29" t="str">
        <x:v>Customer A có đơn; dùng JWT customer B chưa mua.</x:v>
      </x:c>
      <x:c r="I152" s="29" t="str">
        <x:v>Cùng product ID.</x:v>
      </x:c>
      <x:c r="J152" s="29" t="str">
        <x:v>1. Seed đơn của A.
2. Gọi eligibility bằng token B.</x:v>
      </x:c>
      <x:c r="K152" s="30" t="n">
        <x:v>200</x:v>
      </x:c>
      <x:c r="L152" s="29" t="str">
        <x:v>B nhận canReview=false; không dùng đơn của A làm điều kiện.</x:v>
      </x:c>
      <x:c r="M152" s="30" t="str">
        <x:v>Not Run</x:v>
      </x:c>
      <x:c r="N152" s="29"/>
      <x:c r="O152" s="29"/>
      <x:c r="P152" s="31"/>
      <x:c r="Q152" s="29" t="str"/>
    </x:row>
    <x:row r="153" ht="48" hidden="0" customHeight="1">
      <x:c r="A153" s="32" t="str">
        <x:v>API-148</x:v>
      </x:c>
      <x:c r="B153" s="33" t="str">
        <x:v>Review</x:v>
      </x:c>
      <x:c r="C153" s="33" t="str">
        <x:v>Review hợp lệ kèm 5 ảnh</x:v>
      </x:c>
      <x:c r="D153" s="34" t="str">
        <x:v>POST</x:v>
      </x:c>
      <x:c r="E153" s="33" t="str">
        <x:v>/api/products/:id/reviews</x:v>
      </x:c>
      <x:c r="F153" s="33" t="str">
        <x:v>Boundary</x:v>
      </x:c>
      <x:c r="G153" s="34" t="str">
        <x:v>High</x:v>
      </x:c>
      <x:c r="H153" s="33" t="str">
        <x:v>Có JWT customer active; dùng dữ liệu test riêng. Có đơn đủ điều kiện và chưa review.</x:v>
      </x:c>
      <x:c r="I153" s="33" t="str">
        <x:v>Multipart rating=5; comment; 5 ảnh JPG/PNG/WebP &lt;=5 MB.</x:v>
      </x:c>
      <x:c r="J153" s="33" t="str">
        <x:v>1. POST đủ 5 ảnh hợp lệ.
2. GET detail và mở URL ảnh.
3. Đối chiếu số đếm và điểm trung bình.</x:v>
      </x:c>
      <x:c r="K153" s="34" t="n">
        <x:v>201</x:v>
      </x:c>
      <x:c r="L153" s="33" t="str">
        <x:v>Lưu tối đa 5 ảnh review, đúng user; cập nhật reviewCount/ratingAverage.</x:v>
      </x:c>
      <x:c r="M153" s="30" t="str">
        <x:v>Not Run</x:v>
      </x:c>
      <x:c r="N153" s="33"/>
      <x:c r="O153" s="33"/>
      <x:c r="P153" s="35"/>
      <x:c r="Q153" s="33" t="str"/>
    </x:row>
    <x:row r="154" ht="48" hidden="0" customHeight="1">
      <x:c r="A154" s="28" t="str">
        <x:v>API-149</x:v>
      </x:c>
      <x:c r="B154" s="29" t="str">
        <x:v>Review</x:v>
      </x:c>
      <x:c r="C154" s="29" t="str">
        <x:v>Từ chối quá 5 ảnh</x:v>
      </x:c>
      <x:c r="D154" s="30" t="str">
        <x:v>POST</x:v>
      </x:c>
      <x:c r="E154" s="29" t="str">
        <x:v>/api/products/:id/reviews</x:v>
      </x:c>
      <x:c r="F154" s="29" t="str">
        <x:v>Validation</x:v>
      </x:c>
      <x:c r="G154" s="30" t="str">
        <x:v>High</x:v>
      </x:c>
      <x:c r="H154" s="29" t="str">
        <x:v>Có JWT customer active; dùng dữ liệu test riêng. Có đơn đủ điều kiện.</x:v>
      </x:c>
      <x:c r="I154" s="29" t="str">
        <x:v>Multipart hợp lệ trừ 6 ảnh hợp lệ.</x:v>
      </x:c>
      <x:c r="J154" s="29" t="str">
        <x:v>1. Chụp số review/file trước.
2. Gửi upload vi phạm.
3. Kiểm tra response, DB và file tạm.</x:v>
      </x:c>
      <x:c r="K154" s="30" t="str">
        <x:v>4xx</x:v>
      </x:c>
      <x:c r="L154" s="29" t="str">
        <x:v>Không lưu review/ảnh vi phạm; ảnh tạm của request lỗi được dọn.</x:v>
      </x:c>
      <x:c r="M154" s="30" t="str">
        <x:v>Not Run</x:v>
      </x:c>
      <x:c r="N154" s="29"/>
      <x:c r="O154" s="29"/>
      <x:c r="P154" s="31"/>
      <x:c r="Q154" s="29" t="str"/>
    </x:row>
    <x:row r="155" ht="48" hidden="0" customHeight="1">
      <x:c r="A155" s="32" t="str">
        <x:v>API-150</x:v>
      </x:c>
      <x:c r="B155" s="33" t="str">
        <x:v>Review</x:v>
      </x:c>
      <x:c r="C155" s="33" t="str">
        <x:v>Từ chối ảnh quá lớn</x:v>
      </x:c>
      <x:c r="D155" s="34" t="str">
        <x:v>POST</x:v>
      </x:c>
      <x:c r="E155" s="33" t="str">
        <x:v>/api/products/:id/reviews</x:v>
      </x:c>
      <x:c r="F155" s="33" t="str">
        <x:v>Validation</x:v>
      </x:c>
      <x:c r="G155" s="34" t="str">
        <x:v>High</x:v>
      </x:c>
      <x:c r="H155" s="33" t="str">
        <x:v>Có JWT customer active; dùng dữ liệu test riêng. Có đơn đủ điều kiện.</x:v>
      </x:c>
      <x:c r="I155" s="33" t="str">
        <x:v>Multipart hợp lệ trừ 1 ảnh &gt;5 MB.</x:v>
      </x:c>
      <x:c r="J155" s="33" t="str">
        <x:v>1. Chụp số review/file trước.
2. Gửi upload vi phạm.
3. Kiểm tra response, DB và file tạm.</x:v>
      </x:c>
      <x:c r="K155" s="34" t="str">
        <x:v>4xx</x:v>
      </x:c>
      <x:c r="L155" s="33" t="str">
        <x:v>Không lưu review/ảnh vi phạm; ảnh tạm của request lỗi được dọn.</x:v>
      </x:c>
      <x:c r="M155" s="30" t="str">
        <x:v>Not Run</x:v>
      </x:c>
      <x:c r="N155" s="33"/>
      <x:c r="O155" s="33"/>
      <x:c r="P155" s="35"/>
      <x:c r="Q155" s="33" t="str"/>
    </x:row>
    <x:row r="156" ht="48" hidden="0" customHeight="1">
      <x:c r="A156" s="28" t="str">
        <x:v>API-151</x:v>
      </x:c>
      <x:c r="B156" s="29" t="str">
        <x:v>Review</x:v>
      </x:c>
      <x:c r="C156" s="29" t="str">
        <x:v>Từ chối MIME/chữ ký ảnh giả</x:v>
      </x:c>
      <x:c r="D156" s="30" t="str">
        <x:v>POST</x:v>
      </x:c>
      <x:c r="E156" s="29" t="str">
        <x:v>/api/products/:id/reviews</x:v>
      </x:c>
      <x:c r="F156" s="29" t="str">
        <x:v>Validation</x:v>
      </x:c>
      <x:c r="G156" s="30" t="str">
        <x:v>High</x:v>
      </x:c>
      <x:c r="H156" s="29" t="str">
        <x:v>Có JWT customer active; dùng dữ liệu test riêng. Có đơn đủ điều kiện.</x:v>
      </x:c>
      <x:c r="I156" s="29" t="str">
        <x:v>Multipart hợp lệ trừ SVG hoặc PDF giả MIME image/png.</x:v>
      </x:c>
      <x:c r="J156" s="29" t="str">
        <x:v>1. Chụp số review/file trước.
2. Gửi upload vi phạm.
3. Kiểm tra response, DB và file tạm.</x:v>
      </x:c>
      <x:c r="K156" s="30" t="str">
        <x:v>4xx</x:v>
      </x:c>
      <x:c r="L156" s="29" t="str">
        <x:v>Không lưu review/ảnh vi phạm; ảnh tạm của request lỗi được dọn.</x:v>
      </x:c>
      <x:c r="M156" s="30" t="str">
        <x:v>Not Run</x:v>
      </x:c>
      <x:c r="N156" s="29"/>
      <x:c r="O156" s="29"/>
      <x:c r="P156" s="31"/>
      <x:c r="Q156" s="29" t="str"/>
    </x:row>
    <x:row r="157" ht="48" hidden="0" customHeight="1">
      <x:c r="A157" s="32" t="str">
        <x:v>API-152</x:v>
      </x:c>
      <x:c r="B157" s="33" t="str">
        <x:v>Review</x:v>
      </x:c>
      <x:c r="C157" s="33" t="str">
        <x:v>Từ chối ảnh rỗng</x:v>
      </x:c>
      <x:c r="D157" s="34" t="str">
        <x:v>POST</x:v>
      </x:c>
      <x:c r="E157" s="33" t="str">
        <x:v>/api/products/:id/reviews</x:v>
      </x:c>
      <x:c r="F157" s="33" t="str">
        <x:v>Validation</x:v>
      </x:c>
      <x:c r="G157" s="34" t="str">
        <x:v>High</x:v>
      </x:c>
      <x:c r="H157" s="33" t="str">
        <x:v>Có JWT customer active; dùng dữ liệu test riêng. Có đơn đủ điều kiện.</x:v>
      </x:c>
      <x:c r="I157" s="33" t="str">
        <x:v>Multipart hợp lệ trừ 1 file 0 byte.</x:v>
      </x:c>
      <x:c r="J157" s="33" t="str">
        <x:v>1. Chụp số review/file trước.
2. Gửi upload vi phạm.
3. Kiểm tra response, DB và file tạm.</x:v>
      </x:c>
      <x:c r="K157" s="34" t="str">
        <x:v>4xx</x:v>
      </x:c>
      <x:c r="L157" s="33" t="str">
        <x:v>Không lưu review/ảnh vi phạm; ảnh tạm của request lỗi được dọn.</x:v>
      </x:c>
      <x:c r="M157" s="30" t="str">
        <x:v>Not Run</x:v>
      </x:c>
      <x:c r="N157" s="33"/>
      <x:c r="O157" s="33"/>
      <x:c r="P157" s="35"/>
      <x:c r="Q157" s="33" t="str"/>
    </x:row>
    <x:row r="158" ht="48" hidden="0" customHeight="1">
      <x:c r="A158" s="28" t="str">
        <x:v>API-153</x:v>
      </x:c>
      <x:c r="B158" s="29" t="str">
        <x:v>Review</x:v>
      </x:c>
      <x:c r="C158" s="29" t="str">
        <x:v>Sửa review giữ ảnh khi không gửi file mới</x:v>
      </x:c>
      <x:c r="D158" s="30" t="str">
        <x:v>PUT</x:v>
      </x:c>
      <x:c r="E158" s="29" t="str">
        <x:v>/api/products/:id/reviews/:reviewId</x:v>
      </x:c>
      <x:c r="F158" s="29" t="str">
        <x:v>Regression</x:v>
      </x:c>
      <x:c r="G158" s="30" t="str">
        <x:v>High</x:v>
      </x:c>
      <x:c r="H158" s="29" t="str">
        <x:v>Có JWT customer active; dùng dữ liệu test riêng. Review của user có hai ảnh; đơn vẫn hợp lệ.</x:v>
      </x:c>
      <x:c r="I158" s="29" t="str">
        <x:v>Chỉ gửi rating/comment mới.</x:v>
      </x:c>
      <x:c r="J158" s="29" t="str">
        <x:v>1. Chụp images và stock.
2. PUT nội dung.
3. So images, stock, ratingAverage.</x:v>
      </x:c>
      <x:c r="K158" s="30" t="n">
        <x:v>200</x:v>
      </x:c>
      <x:c r="L158" s="29" t="str">
        <x:v>Giữ ảnh cũ; nội dung và tổng điểm cập nhật, không đổi stock product.</x:v>
      </x:c>
      <x:c r="M158" s="30" t="str">
        <x:v>Not Run</x:v>
      </x:c>
      <x:c r="N158" s="29"/>
      <x:c r="O158" s="29"/>
      <x:c r="P158" s="31"/>
      <x:c r="Q158" s="29" t="str"/>
    </x:row>
    <x:row r="159" ht="54" hidden="0" customHeight="1">
      <x:c r="A159" s="32" t="str">
        <x:v>API-154</x:v>
      </x:c>
      <x:c r="B159" s="33" t="str">
        <x:v>Review</x:v>
      </x:c>
      <x:c r="C159" s="33" t="str">
        <x:v>Hai request review đồng thời chỉ tạo một bản ghi</x:v>
      </x:c>
      <x:c r="D159" s="34" t="str">
        <x:v>POST</x:v>
      </x:c>
      <x:c r="E159" s="33" t="str">
        <x:v>/api/products/:id/reviews</x:v>
      </x:c>
      <x:c r="F159" s="33" t="str">
        <x:v>Concurrency</x:v>
      </x:c>
      <x:c r="G159" s="34" t="str">
        <x:v>Critical</x:v>
      </x:c>
      <x:c r="H159" s="33" t="str">
        <x:v>Có JWT customer active; dùng dữ liệu test riêng. Có đơn đủ điều kiện; chưa review.</x:v>
      </x:c>
      <x:c r="I159" s="33" t="str">
        <x:v>Hai request cùng user/product, mỗi request có ảnh riêng.</x:v>
      </x:c>
      <x:c r="J159" s="33" t="str">
        <x:v>1. Gửi hai POST song song trong môi trường test.
2. Đếm review của user/product.
3. Kiểm tra file tạm.</x:v>
      </x:c>
      <x:c r="K159" s="34" t="str">
        <x:v>201 + 409</x:v>
      </x:c>
      <x:c r="L159" s="33" t="str">
        <x:v>Chỉ một review được lưu; request trùng trả conflict; không rò ảnh từ request bị loại.</x:v>
      </x:c>
      <x:c r="M159" s="30" t="str">
        <x:v>Not Run</x:v>
      </x:c>
      <x:c r="N159" s="33"/>
      <x:c r="O159" s="33"/>
      <x:c r="P159" s="35"/>
      <x:c r="Q159" s="33" t="str"/>
    </x:row>
    <x:row r="160" ht="54" hidden="0" customHeight="1">
      <x:c r="A160" s="28" t="str">
        <x:v>API-155</x:v>
      </x:c>
      <x:c r="B160" s="29" t="str">
        <x:v>Review</x:v>
      </x:c>
      <x:c r="C160" s="29" t="str">
        <x:v>Xoá review dọn ảnh và mở lại quyền nếu còn đơn hợp lệ</x:v>
      </x:c>
      <x:c r="D160" s="30" t="str">
        <x:v>DELETE</x:v>
      </x:c>
      <x:c r="E160" s="29" t="str">
        <x:v>/api/products/:id/reviews/:reviewId</x:v>
      </x:c>
      <x:c r="F160" s="29" t="str">
        <x:v>Integration</x:v>
      </x:c>
      <x:c r="G160" s="30" t="str">
        <x:v>High</x:v>
      </x:c>
      <x:c r="H160" s="29" t="str">
        <x:v>Có JWT customer active; dùng dữ liệu test riêng. Review của chính user; đơn còn đủ điều kiện.</x:v>
      </x:c>
      <x:c r="I160" s="29" t="str">
        <x:v>Review ID có ảnh.</x:v>
      </x:c>
      <x:c r="J160" s="29" t="str">
        <x:v>1. DELETE review.
2. GET product và eligibility.
3. Kiểm tra file ảnh không còn được phục vụ.</x:v>
      </x:c>
      <x:c r="K160" s="30" t="n">
        <x:v>200</x:v>
      </x:c>
      <x:c r="L160" s="29" t="str">
        <x:v>Review và ảnh liên quan bị xoá; summary cập nhật; eligibility cho tạo lại.</x:v>
      </x:c>
      <x:c r="M160" s="30" t="str">
        <x:v>Not Run</x:v>
      </x:c>
      <x:c r="N160" s="29"/>
      <x:c r="O160" s="29"/>
      <x:c r="P160" s="31"/>
      <x:c r="Q160" s="29" t="str"/>
    </x:row>
    <x:row r="161" ht="48" hidden="0" customHeight="1">
      <x:c r="A161" s="32" t="str">
        <x:v>API-156</x:v>
      </x:c>
      <x:c r="B161" s="33" t="str">
        <x:v>Cart</x:v>
      </x:c>
      <x:c r="C161" s="33" t="str">
        <x:v>Thêm vào giỏ không trừ tồn kho trước khi đặt đơn</x:v>
      </x:c>
      <x:c r="D161" s="34" t="str">
        <x:v>POST</x:v>
      </x:c>
      <x:c r="E161" s="33" t="str">
        <x:v>/api/users/me/cart/:productId</x:v>
      </x:c>
      <x:c r="F161" s="33" t="str">
        <x:v>Business Rule</x:v>
      </x:c>
      <x:c r="G161" s="34" t="str">
        <x:v>High</x:v>
      </x:c>
      <x:c r="H161" s="33" t="str">
        <x:v>Có JWT customer active; dùng dữ liệu test riêng. Product active stock=2.</x:v>
      </x:c>
      <x:c r="I161" s="33" t="str">
        <x:v>{quantity:1}</x:v>
      </x:c>
      <x:c r="J161" s="33" t="str">
        <x:v>1. Ghi stock/cart ban đầu.
2. Thêm một item.
3. GET cart/product và so trước/sau.</x:v>
      </x:c>
      <x:c r="K161" s="34" t="n">
        <x:v>201</x:v>
      </x:c>
      <x:c r="L161" s="33" t="str">
        <x:v>Cart tăng một sản phẩm nhưng stock vẫn bằng 2; chỉ bước tạo Order mới giữ/trừ tồn kho.</x:v>
      </x:c>
      <x:c r="M161" s="30" t="str">
        <x:v>Not Run</x:v>
      </x:c>
      <x:c r="N161" s="33"/>
      <x:c r="O161" s="33"/>
      <x:c r="P161" s="35"/>
      <x:c r="Q161" s="33" t="str"/>
    </x:row>
    <x:row r="162" ht="48" hidden="0" customHeight="1">
      <x:c r="A162" s="28" t="str">
        <x:v>API-157</x:v>
      </x:c>
      <x:c r="B162" s="29" t="str">
        <x:v>Order</x:v>
      </x:c>
      <x:c r="C162" s="29" t="str">
        <x:v>Gộp item trùng trước khi trừ tồn kho</x:v>
      </x:c>
      <x:c r="D162" s="30" t="str">
        <x:v>POST</x:v>
      </x:c>
      <x:c r="E162" s="29" t="str">
        <x:v>/api/orders</x:v>
      </x:c>
      <x:c r="F162" s="29" t="str">
        <x:v>Business Rule</x:v>
      </x:c>
      <x:c r="G162" s="30" t="str">
        <x:v>Critical</x:v>
      </x:c>
      <x:c r="H162" s="29" t="str">
        <x:v>Có JWT customer active; dùng dữ liệu test riêng. Product stock=5; Store Pickup COD.</x:v>
      </x:c>
      <x:c r="I162" s="29" t="str">
        <x:v>items=[{P,quantity:1},{P,quantity:2}]; deliveryMethod=pickup.</x:v>
      </x:c>
      <x:c r="J162" s="29" t="str">
        <x:v>1. Chụp stock=5.
2. Tạo đơn có item trùng.
3. Kiểm tra item tổng và stock=2.</x:v>
      </x:c>
      <x:c r="K162" s="30" t="n">
        <x:v>201</x:v>
      </x:c>
      <x:c r="L162" s="29" t="str">
        <x:v>Một item quantity=3; stock giảm đúng 3, không trừ hai lần hoặc bỏ sót.</x:v>
      </x:c>
      <x:c r="M162" s="30" t="str">
        <x:v>Not Run</x:v>
      </x:c>
      <x:c r="N162" s="29"/>
      <x:c r="O162" s="29"/>
      <x:c r="P162" s="31"/>
      <x:c r="Q162" s="29" t="str"/>
    </x:row>
    <x:row r="163" ht="48" hidden="0" customHeight="1">
      <x:c r="A163" s="32" t="str">
        <x:v>API-158</x:v>
      </x:c>
      <x:c r="B163" s="33" t="str">
        <x:v>Order</x:v>
      </x:c>
      <x:c r="C163" s="33" t="str">
        <x:v>Store Pickup không cần dữ liệu địa chỉ/người nhận</x:v>
      </x:c>
      <x:c r="D163" s="34" t="str">
        <x:v>POST</x:v>
      </x:c>
      <x:c r="E163" s="33" t="str">
        <x:v>/api/orders</x:v>
      </x:c>
      <x:c r="F163" s="33" t="str">
        <x:v>Business Rule</x:v>
      </x:c>
      <x:c r="G163" s="34" t="str">
        <x:v>Critical</x:v>
      </x:c>
      <x:c r="H163" s="33" t="str">
        <x:v>Có JWT customer active; dùng dữ liệu test riêng. Cart có SP còn hàng.</x:v>
      </x:c>
      <x:c r="I163" s="33" t="str">
        <x:v>{deliveryMethod:"pickup",paymentMethod:"COD"}; không shippingAddress.</x:v>
      </x:c>
      <x:c r="J163" s="33" t="str">
        <x:v>1. POST pickup không địa chỉ.
2. Kiểm tra order và mock log provider.</x:v>
      </x:c>
      <x:c r="K163" s="34" t="n">
        <x:v>201</x:v>
      </x:c>
      <x:c r="L163" s="33" t="str">
        <x:v>Tạo đơn pickup, phí giao 0; không geocode/quotation/booking; dùng thông tin tài khoản nội bộ.</x:v>
      </x:c>
      <x:c r="M163" s="30" t="str">
        <x:v>Not Run</x:v>
      </x:c>
      <x:c r="N163" s="33"/>
      <x:c r="O163" s="33"/>
      <x:c r="P163" s="35"/>
      <x:c r="Q163" s="33" t="str"/>
    </x:row>
    <x:row r="164" ht="48" hidden="0" customHeight="1">
      <x:c r="A164" s="28" t="str">
        <x:v>API-159</x:v>
      </x:c>
      <x:c r="B164" s="29" t="str">
        <x:v>Order</x:v>
      </x:c>
      <x:c r="C164" s="29" t="str">
        <x:v>Nhiều item: lỗi stock sau cùng hoàn lại các item đã giữ</x:v>
      </x:c>
      <x:c r="D164" s="30" t="str">
        <x:v>POST</x:v>
      </x:c>
      <x:c r="E164" s="29" t="str">
        <x:v>/api/orders</x:v>
      </x:c>
      <x:c r="F164" s="29" t="str">
        <x:v>Concurrency</x:v>
      </x:c>
      <x:c r="G164" s="30" t="str">
        <x:v>Critical</x:v>
      </x:c>
      <x:c r="H164" s="29" t="str">
        <x:v>Có JWT customer active; dùng dữ liệu test riêng. P1 đủ stock, P2 không đủ.</x:v>
      </x:c>
      <x:c r="I164" s="29" t="str">
        <x:v>items=[P1 x1,P2 x10].</x:v>
      </x:c>
      <x:c r="J164" s="29" t="str">
        <x:v>1. Chụp stock cả hai SP.
2. Đặt đơn hỗn hợp.
3. Kiểm tra rollback từng tài nguyên.</x:v>
      </x:c>
      <x:c r="K164" s="30" t="str">
        <x:v>4xx</x:v>
      </x:c>
      <x:c r="L164" s="29" t="str">
        <x:v>Không tạo đơn; stock P1/P2 và voucher/quote reservation không bị mất một phần.</x:v>
      </x:c>
      <x:c r="M164" s="30" t="str">
        <x:v>Not Run</x:v>
      </x:c>
      <x:c r="N164" s="29"/>
      <x:c r="O164" s="29"/>
      <x:c r="P164" s="31"/>
      <x:c r="Q164" s="29" t="str"/>
    </x:row>
    <x:row r="165" ht="48" hidden="0" customHeight="1">
      <x:c r="A165" s="32" t="str">
        <x:v>API-160</x:v>
      </x:c>
      <x:c r="B165" s="33" t="str">
        <x:v>Order</x:v>
      </x:c>
      <x:c r="C165" s="33" t="str">
        <x:v>Đua đơn khi chỉ còn một sản phẩm</x:v>
      </x:c>
      <x:c r="D165" s="34" t="str">
        <x:v>POST</x:v>
      </x:c>
      <x:c r="E165" s="33" t="str">
        <x:v>/api/orders</x:v>
      </x:c>
      <x:c r="F165" s="33" t="str">
        <x:v>Concurrency</x:v>
      </x:c>
      <x:c r="G165" s="34" t="str">
        <x:v>Critical</x:v>
      </x:c>
      <x:c r="H165" s="33" t="str">
        <x:v>Hai customer; một SP active stock=1.</x:v>
      </x:c>
      <x:c r="I165" s="33" t="str">
        <x:v>Hai đơn pickup COD, mỗi đơn quantity=1.</x:v>
      </x:c>
      <x:c r="J165" s="33" t="str">
        <x:v>1. Gửi hai đơn đồng thời.
2. Kiểm tra số Order và stock cuối.</x:v>
      </x:c>
      <x:c r="K165" s="34" t="str">
        <x:v>201 + 4xx</x:v>
      </x:c>
      <x:c r="L165" s="33" t="str">
        <x:v>Chỉ một đơn thành công; stock không âm; đơn thất bại không làm hoàn stock của đơn thành công.</x:v>
      </x:c>
      <x:c r="M165" s="30" t="str">
        <x:v>Not Run</x:v>
      </x:c>
      <x:c r="N165" s="33"/>
      <x:c r="O165" s="33"/>
      <x:c r="P165" s="35"/>
      <x:c r="Q165" s="33" t="str"/>
    </x:row>
    <x:row r="166" ht="54" hidden="0" customHeight="1">
      <x:c r="A166" s="28" t="str">
        <x:v>API-161</x:v>
      </x:c>
      <x:c r="B166" s="29" t="str">
        <x:v>Delivery</x:v>
      </x:c>
      <x:c r="C166" s="29" t="str">
        <x:v>Autocomplete trả địa chỉ, không lộ GPS</x:v>
      </x:c>
      <x:c r="D166" s="30" t="str">
        <x:v>GET</x:v>
      </x:c>
      <x:c r="E166" s="29" t="str">
        <x:v>/api/delivery/addresses?query=Toa%20Vimeco</x:v>
      </x:c>
      <x:c r="F166" s="29" t="str">
        <x:v>Positive</x:v>
      </x:c>
      <x:c r="G166" s="30" t="str">
        <x:v>High</x:v>
      </x:c>
      <x:c r="H166" s="29" t="str">
        <x:v>Có JWT customer active; dùng dữ liệu test riêng. Geocoding test provider có kết quả.</x:v>
      </x:c>
      <x:c r="I166" s="29" t="str">
        <x:v>query dài &gt;=3 ký tự.</x:v>
      </x:c>
      <x:c r="J166" s="29" t="str">
        <x:v>1. Gọi autocomplete.
2. Kiểm tra schema gợi ý và log request provider.</x:v>
      </x:c>
      <x:c r="K166" s="30" t="n">
        <x:v>200</x:v>
      </x:c>
      <x:c r="L166" s="29" t="str">
        <x:v>Danh sách địa chỉ có định danh và address; không yêu cầu khách nhập latitude/longitude.</x:v>
      </x:c>
      <x:c r="M166" s="30" t="str">
        <x:v>Not Run</x:v>
      </x:c>
      <x:c r="N166" s="29"/>
      <x:c r="O166" s="29"/>
      <x:c r="P166" s="31"/>
      <x:c r="Q166" s="29" t="str">
        <x:v>Nguồn: routes/deliveryRoutes.js; services/geocoding.js; services/deliveryQuote.js.</x:v>
      </x:c>
    </x:row>
    <x:row r="167" ht="48" hidden="0" customHeight="1">
      <x:c r="A167" s="32" t="str">
        <x:v>API-162</x:v>
      </x:c>
      <x:c r="B167" s="33" t="str">
        <x:v>Delivery</x:v>
      </x:c>
      <x:c r="C167" s="33" t="str">
        <x:v>Autocomplete với từ khoá quá ngắn</x:v>
      </x:c>
      <x:c r="D167" s="34" t="str">
        <x:v>GET</x:v>
      </x:c>
      <x:c r="E167" s="33" t="str">
        <x:v>/api/delivery/addresses?query=ab</x:v>
      </x:c>
      <x:c r="F167" s="33" t="str">
        <x:v>Boundary</x:v>
      </x:c>
      <x:c r="G167" s="34" t="str">
        <x:v>Medium</x:v>
      </x:c>
      <x:c r="H167" s="33" t="str">
        <x:v>Có JWT customer active; dùng dữ liệu test riêng.</x:v>
      </x:c>
      <x:c r="I167" s="33" t="str">
        <x:v>query=ab (2 ký tự).</x:v>
      </x:c>
      <x:c r="J167" s="33" t="str">
        <x:v>1. Gửi query=ab.
2. Kiểm tra HTTP và mock provider chưa được gọi.</x:v>
      </x:c>
      <x:c r="K167" s="34" t="n">
        <x:v>400</x:v>
      </x:c>
      <x:c r="L167" s="33" t="str">
        <x:v>Từ chối trước khi gọi geocoding; hướng dẫn nhập ít nhất 3 ký tự.</x:v>
      </x:c>
      <x:c r="M167" s="30" t="str">
        <x:v>Not Run</x:v>
      </x:c>
      <x:c r="N167" s="33"/>
      <x:c r="O167" s="33"/>
      <x:c r="P167" s="35"/>
      <x:c r="Q167" s="33" t="str"/>
    </x:row>
    <x:row r="168" ht="48" hidden="0" customHeight="1">
      <x:c r="A168" s="28" t="str">
        <x:v>API-163</x:v>
      </x:c>
      <x:c r="B168" s="29" t="str">
        <x:v>Delivery</x:v>
      </x:c>
      <x:c r="C168" s="29" t="str">
        <x:v>Báo giá từ địa chỉ, backend tự geocode</x:v>
      </x:c>
      <x:c r="D168" s="30" t="str">
        <x:v>POST</x:v>
      </x:c>
      <x:c r="E168" s="29" t="str">
        <x:v>/api/delivery/quote</x:v>
      </x:c>
      <x:c r="F168" s="29" t="str">
        <x:v>Integration</x:v>
      </x:c>
      <x:c r="G168" s="30" t="str">
        <x:v>Critical</x:v>
      </x:c>
      <x:c r="H168" s="29" t="str">
        <x:v>Có JWT customer active; dùng dữ liệu test riêng. Có mock geocoding và Lalamove sandbox quote.</x:v>
      </x:c>
      <x:c r="I168" s="29" t="str">
        <x:v>{recipientName:"QA",phone:"0901234567",address:"Toa Vimeco Pham Hung, Ha Noi",paymentMethod:"COD"}</x:v>
      </x:c>
      <x:c r="J168" s="29" t="str">
        <x:v>1. Gửi tên/điện thoại/địa chỉ.
2. Kiểm tra lần gọi geocoding rồi quote.
3. Đối chiếu fee với quote lưu.</x:v>
      </x:c>
      <x:c r="K168" s="30" t="n">
        <x:v>201</x:v>
      </x:c>
      <x:c r="L168" s="29" t="str">
        <x:v>Backend geocode rồi quotation; trả quote ID, fee và hạn dùng; không cần client gửi GPS.</x:v>
      </x:c>
      <x:c r="M168" s="30" t="str">
        <x:v>Not Run</x:v>
      </x:c>
      <x:c r="N168" s="29"/>
      <x:c r="O168" s="29"/>
      <x:c r="P168" s="31"/>
      <x:c r="Q168" s="29" t="str"/>
    </x:row>
    <x:row r="169" ht="48" hidden="0" customHeight="1">
      <x:c r="A169" s="32" t="str">
        <x:v>API-164</x:v>
      </x:c>
      <x:c r="B169" s="33" t="str">
        <x:v>Delivery</x:v>
      </x:c>
      <x:c r="C169" s="33" t="str">
        <x:v>Không geocode được địa chỉ</x:v>
      </x:c>
      <x:c r="D169" s="34" t="str">
        <x:v>POST</x:v>
      </x:c>
      <x:c r="E169" s="33" t="str">
        <x:v>/api/delivery/quote</x:v>
      </x:c>
      <x:c r="F169" s="33" t="str">
        <x:v>Negative</x:v>
      </x:c>
      <x:c r="G169" s="34" t="str">
        <x:v>High</x:v>
      </x:c>
      <x:c r="H169" s="33" t="str">
        <x:v>Có JWT customer active; dùng dữ liệu test riêng. Mock geocoding không có kết quả.</x:v>
      </x:c>
      <x:c r="I169" s="33" t="str">
        <x:v>Địa chỉ không xác định.</x:v>
      </x:c>
      <x:c r="J169" s="33" t="str">
        <x:v>1. Gửi địa chỉ không có kết quả.
2. Kiểm tra lỗi và không có quote/booking hợp lệ.</x:v>
      </x:c>
      <x:c r="K169" s="34" t="str">
        <x:v>4xx</x:v>
      </x:c>
      <x:c r="L169" s="33" t="str">
        <x:v>Không trả quote thành công hoặc phí 0 giả; không gọi booking Lalamove.</x:v>
      </x:c>
      <x:c r="M169" s="30" t="str">
        <x:v>Not Run</x:v>
      </x:c>
      <x:c r="N169" s="33"/>
      <x:c r="O169" s="33"/>
      <x:c r="P169" s="35"/>
      <x:c r="Q169" s="33" t="str"/>
    </x:row>
    <x:row r="170" ht="48" hidden="0" customHeight="1">
      <x:c r="A170" s="28" t="str">
        <x:v>API-165</x:v>
      </x:c>
      <x:c r="B170" s="29" t="str">
        <x:v>Delivery</x:v>
      </x:c>
      <x:c r="C170" s="29" t="str">
        <x:v>Geocoding timeout không thành phí giao miễn phí</x:v>
      </x:c>
      <x:c r="D170" s="30" t="str">
        <x:v>POST</x:v>
      </x:c>
      <x:c r="E170" s="29" t="str">
        <x:v>/api/delivery/quote</x:v>
      </x:c>
      <x:c r="F170" s="29" t="str">
        <x:v>Integration</x:v>
      </x:c>
      <x:c r="G170" s="30" t="str">
        <x:v>High</x:v>
      </x:c>
      <x:c r="H170" s="29" t="str">
        <x:v>Có JWT customer active; dùng dữ liệu test riêng. Mock geocoding ngắt mạng/timeout.</x:v>
      </x:c>
      <x:c r="I170" s="29" t="str">
        <x:v>Địa chỉ hợp lệ.</x:v>
      </x:c>
      <x:c r="J170" s="29" t="str">
        <x:v>1. Giả lập timeout.
2. POST quote.
3. Kiểm tra HTTP và DB.</x:v>
      </x:c>
      <x:c r="K170" s="30" t="n">
        <x:v>502</x:v>
      </x:c>
      <x:c r="L170" s="29" t="str">
        <x:v>Trả lỗi geocoding rõ ràng; không trả báo giá giả hay tạo Order.</x:v>
      </x:c>
      <x:c r="M170" s="30" t="str">
        <x:v>Not Run</x:v>
      </x:c>
      <x:c r="N170" s="29"/>
      <x:c r="O170" s="29"/>
      <x:c r="P170" s="31"/>
      <x:c r="Q170" s="29" t="str"/>
    </x:row>
    <x:row r="171" ht="48" hidden="0" customHeight="1">
      <x:c r="A171" s="32" t="str">
        <x:v>API-166</x:v>
      </x:c>
      <x:c r="B171" s="33" t="str">
        <x:v>Delivery</x:v>
      </x:c>
      <x:c r="C171" s="33" t="str">
        <x:v>Quotation Lalamove lỗi được trả về rõ ràng</x:v>
      </x:c>
      <x:c r="D171" s="34" t="str">
        <x:v>POST</x:v>
      </x:c>
      <x:c r="E171" s="33" t="str">
        <x:v>/api/delivery/quote</x:v>
      </x:c>
      <x:c r="F171" s="33" t="str">
        <x:v>Integration</x:v>
      </x:c>
      <x:c r="G171" s="34" t="str">
        <x:v>High</x:v>
      </x:c>
      <x:c r="H171" s="33" t="str">
        <x:v>Có JWT customer active; dùng dữ liệu test riêng. Geocode thành công; mock Lalamove từ chối.</x:v>
      </x:c>
      <x:c r="I171" s="33" t="str">
        <x:v>Tên, điện thoại và địa chỉ hợp lệ.</x:v>
      </x:c>
      <x:c r="J171" s="33" t="str">
        <x:v>1. Mock lỗi quota/ngoài vùng phục vụ.
2. Gửi quote.
3. Kiểm tra message và trường nhạy cảm.</x:v>
      </x:c>
      <x:c r="K171" s="34" t="str">
        <x:v>4xx/5xx theo lỗi provider</x:v>
      </x:c>
      <x:c r="L171" s="33" t="str">
        <x:v>Không trả quote dùng được; không lộ key/signature/raw secret trong response.</x:v>
      </x:c>
      <x:c r="M171" s="30" t="str">
        <x:v>Not Run</x:v>
      </x:c>
      <x:c r="N171" s="33"/>
      <x:c r="O171" s="33"/>
      <x:c r="P171" s="35"/>
      <x:c r="Q171" s="33" t="str"/>
    </x:row>
    <x:row r="172" ht="54" hidden="0" customHeight="1">
      <x:c r="A172" s="28" t="str">
        <x:v>API-167</x:v>
      </x:c>
      <x:c r="B172" s="29" t="str">
        <x:v>Delivery</x:v>
      </x:c>
      <x:c r="C172" s="29" t="str">
        <x:v>Quote COD và quote online có chế độ thu tiền khác nhau</x:v>
      </x:c>
      <x:c r="D172" s="30" t="str">
        <x:v>POST</x:v>
      </x:c>
      <x:c r="E172" s="29" t="str">
        <x:v>/api/delivery/quote</x:v>
      </x:c>
      <x:c r="F172" s="29" t="str">
        <x:v>Business Rule</x:v>
      </x:c>
      <x:c r="G172" s="30" t="str">
        <x:v>Critical</x:v>
      </x:c>
      <x:c r="H172" s="29" t="str">
        <x:v>Có JWT customer active; dùng dữ liệu test riêng. Cổng sandbox cấu hình; mock provider.</x:v>
      </x:c>
      <x:c r="I172" s="29" t="str">
        <x:v>Hai request cùng địa chỉ: paymentMethod=COD và Visa.</x:v>
      </x:c>
      <x:c r="J172" s="29" t="str">
        <x:v>1. Lấy hai quote riêng.
2. So request provider và quote lưu.
3. Kiểm tra địa chỉ giống nhau nhưng payment context đúng.</x:v>
      </x:c>
      <x:c r="K172" s="30" t="n">
        <x:v>201</x:v>
      </x:c>
      <x:c r="L172" s="29" t="str">
        <x:v>COD có cấu hình thu tiền; quote online prepaid không yêu cầu tài xế thu COD.</x:v>
      </x:c>
      <x:c r="M172" s="30" t="str">
        <x:v>Not Run</x:v>
      </x:c>
      <x:c r="N172" s="29"/>
      <x:c r="O172" s="29"/>
      <x:c r="P172" s="31"/>
      <x:c r="Q172" s="29" t="str"/>
    </x:row>
    <x:row r="173" ht="48" hidden="0" customHeight="1">
      <x:c r="A173" s="32" t="str">
        <x:v>API-168</x:v>
      </x:c>
      <x:c r="B173" s="33" t="str">
        <x:v>Delivery</x:v>
      </x:c>
      <x:c r="C173" s="33" t="str">
        <x:v>Không đặt đơn bằng quote hết hạn</x:v>
      </x:c>
      <x:c r="D173" s="34" t="str">
        <x:v>POST</x:v>
      </x:c>
      <x:c r="E173" s="33" t="str">
        <x:v>/api/orders</x:v>
      </x:c>
      <x:c r="F173" s="33" t="str">
        <x:v>Security</x:v>
      </x:c>
      <x:c r="G173" s="34" t="str">
        <x:v>Critical</x:v>
      </x:c>
      <x:c r="H173" s="33" t="str">
        <x:v>Có JWT customer active; dùng dữ liệu test riêng. Có shippingQuoteId hết hạn.</x:v>
      </x:c>
      <x:c r="I173" s="33" t="str">
        <x:v>{deliveryMethod:"standard",shippingQuoteId,items:[P x1],paymentMethod:"COD"}</x:v>
      </x:c>
      <x:c r="J173" s="33" t="str">
        <x:v>1. Chụp stock/usage.
2. Đặt đơn bằng quote không hợp lệ.
3. So stock, usage và Order count.</x:v>
      </x:c>
      <x:c r="K173" s="34" t="str">
        <x:v>4xx</x:v>
      </x:c>
      <x:c r="L173" s="33" t="str">
        <x:v>Không tạo đơn/booking; không giữ mất tồn kho hoặc lượt voucher.</x:v>
      </x:c>
      <x:c r="M173" s="30" t="str">
        <x:v>Not Run</x:v>
      </x:c>
      <x:c r="N173" s="33"/>
      <x:c r="O173" s="33"/>
      <x:c r="P173" s="35"/>
      <x:c r="Q173" s="33" t="str"/>
    </x:row>
    <x:row r="174" ht="48" hidden="0" customHeight="1">
      <x:c r="A174" s="28" t="str">
        <x:v>API-169</x:v>
      </x:c>
      <x:c r="B174" s="29" t="str">
        <x:v>Delivery</x:v>
      </x:c>
      <x:c r="C174" s="29" t="str">
        <x:v>Không đặt đơn bằng quote của user khác</x:v>
      </x:c>
      <x:c r="D174" s="30" t="str">
        <x:v>POST</x:v>
      </x:c>
      <x:c r="E174" s="29" t="str">
        <x:v>/api/orders</x:v>
      </x:c>
      <x:c r="F174" s="29" t="str">
        <x:v>Security</x:v>
      </x:c>
      <x:c r="G174" s="30" t="str">
        <x:v>Critical</x:v>
      </x:c>
      <x:c r="H174" s="29" t="str">
        <x:v>Có JWT customer active; dùng dữ liệu test riêng. Có shippingQuoteId của user khác.</x:v>
      </x:c>
      <x:c r="I174" s="29" t="str">
        <x:v>{deliveryMethod:"standard",shippingQuoteId,items:[P x1],paymentMethod:"COD"}</x:v>
      </x:c>
      <x:c r="J174" s="29" t="str">
        <x:v>1. Chụp stock/usage.
2. Đặt đơn bằng quote không hợp lệ.
3. So stock, usage và Order count.</x:v>
      </x:c>
      <x:c r="K174" s="30" t="str">
        <x:v>4xx</x:v>
      </x:c>
      <x:c r="L174" s="29" t="str">
        <x:v>Không tạo đơn/booking; không giữ mất tồn kho hoặc lượt voucher.</x:v>
      </x:c>
      <x:c r="M174" s="30" t="str">
        <x:v>Not Run</x:v>
      </x:c>
      <x:c r="N174" s="29"/>
      <x:c r="O174" s="29"/>
      <x:c r="P174" s="31"/>
      <x:c r="Q174" s="29" t="str"/>
    </x:row>
    <x:row r="175" ht="48" hidden="0" customHeight="1">
      <x:c r="A175" s="32" t="str">
        <x:v>API-170</x:v>
      </x:c>
      <x:c r="B175" s="33" t="str">
        <x:v>Delivery</x:v>
      </x:c>
      <x:c r="C175" s="33" t="str">
        <x:v>Không tin phí/địa chỉ bị client sửa sau quotation</x:v>
      </x:c>
      <x:c r="D175" s="34" t="str">
        <x:v>POST</x:v>
      </x:c>
      <x:c r="E175" s="33" t="str">
        <x:v>/api/orders</x:v>
      </x:c>
      <x:c r="F175" s="33" t="str">
        <x:v>Security</x:v>
      </x:c>
      <x:c r="G175" s="34" t="str">
        <x:v>Critical</x:v>
      </x:c>
      <x:c r="H175" s="33" t="str">
        <x:v>Có JWT customer active; dùng dữ liệu test riêng. Quote của user còn hạn.</x:v>
      </x:c>
      <x:c r="I175" s="33" t="str">
        <x:v>shippingQuoteId hợp lệ; gửi thêm shippingFee=1 và address/GPS giả.</x:v>
      </x:c>
      <x:c r="J175" s="33" t="str">
        <x:v>1. Chụp snapshot quote.
2. POST dữ liệu giả mạo.
3. So order với quote lưu.</x:v>
      </x:c>
      <x:c r="K175" s="34" t="n">
        <x:v>201</x:v>
      </x:c>
      <x:c r="L175" s="33" t="str">
        <x:v>Order dùng phí và địa chỉ từ quote backend; không tin trường tài chính/GPS tự gửi.</x:v>
      </x:c>
      <x:c r="M175" s="30" t="str">
        <x:v>Not Run</x:v>
      </x:c>
      <x:c r="N175" s="33"/>
      <x:c r="O175" s="33"/>
      <x:c r="P175" s="35"/>
      <x:c r="Q175" s="33" t="str"/>
    </x:row>
    <x:row r="176" ht="54" hidden="0" customHeight="1">
      <x:c r="A176" s="28" t="str">
        <x:v>API-171</x:v>
      </x:c>
      <x:c r="B176" s="29" t="str">
        <x:v>Lalamove</x:v>
      </x:c>
      <x:c r="C176" s="29" t="str">
        <x:v>Webhook hợp lệ đồng bộ trạng thái giao hàng</x:v>
      </x:c>
      <x:c r="D176" s="30" t="str">
        <x:v>POST</x:v>
      </x:c>
      <x:c r="E176" s="29" t="str">
        <x:v>/api/shipping/lalamove/webhook</x:v>
      </x:c>
      <x:c r="F176" s="29" t="str">
        <x:v>Integration</x:v>
      </x:c>
      <x:c r="G176" s="30" t="str">
        <x:v>Critical</x:v>
      </x:c>
      <x:c r="H176" s="29" t="str">
        <x:v>Order test có booking ID; webhook ký đúng cấu hình sandbox.</x:v>
      </x:c>
      <x:c r="I176" s="29" t="str">
        <x:v>Các sự kiện trạng thái provider hợp lệ theo thứ tự.</x:v>
      </x:c>
      <x:c r="J176" s="29" t="str">
        <x:v>1. Gửi webhook đã ký.
2. GET order/customer/admin.
3. So trạng thái và stock/payment trước/sau.</x:v>
      </x:c>
      <x:c r="K176" s="30" t="n">
        <x:v>200</x:v>
      </x:c>
      <x:c r="L176" s="29" t="str">
        <x:v>shippingStatus và trạng thái hiển thị đồng bộ theo provider; không tự sửa payment hoặc trừ stock thêm.</x:v>
      </x:c>
      <x:c r="M176" s="30" t="str">
        <x:v>Not Run</x:v>
      </x:c>
      <x:c r="N176" s="29"/>
      <x:c r="O176" s="29"/>
      <x:c r="P176" s="31"/>
      <x:c r="Q176" s="29" t="str">
        <x:v>Nguồn: services/shipping.js; tests/shipping-flow.test.js. Không gửi vào booking khách thật.</x:v>
      </x:c>
    </x:row>
    <x:row r="177" ht="48" hidden="0" customHeight="1">
      <x:c r="A177" s="32" t="str">
        <x:v>API-172</x:v>
      </x:c>
      <x:c r="B177" s="33" t="str">
        <x:v>Lalamove</x:v>
      </x:c>
      <x:c r="C177" s="33" t="str">
        <x:v>Webhook sai chữ ký bị từ chối</x:v>
      </x:c>
      <x:c r="D177" s="34" t="str">
        <x:v>POST</x:v>
      </x:c>
      <x:c r="E177" s="33" t="str">
        <x:v>/api/shipping/lalamove/webhook</x:v>
      </x:c>
      <x:c r="F177" s="33" t="str">
        <x:v>Security</x:v>
      </x:c>
      <x:c r="G177" s="34" t="str">
        <x:v>Critical</x:v>
      </x:c>
      <x:c r="H177" s="33" t="str">
        <x:v>Order test có booking ID.</x:v>
      </x:c>
      <x:c r="I177" s="33" t="str">
        <x:v>Payload bị sửa sau khi ký hoặc signature sai.</x:v>
      </x:c>
      <x:c r="J177" s="33" t="str">
        <x:v>1. Chụp order.
2. Gửi payload ký sai.
3. Đọc lại và so toàn bộ trường nghiệp vụ.</x:v>
      </x:c>
      <x:c r="K177" s="34" t="str">
        <x:v>4xx</x:v>
      </x:c>
      <x:c r="L177" s="33" t="str">
        <x:v>Không thay đổi order, payment, stock hoặc tracking.</x:v>
      </x:c>
      <x:c r="M177" s="30" t="str">
        <x:v>Not Run</x:v>
      </x:c>
      <x:c r="N177" s="33"/>
      <x:c r="O177" s="33"/>
      <x:c r="P177" s="35"/>
      <x:c r="Q177" s="33" t="str"/>
    </x:row>
    <x:row r="178" ht="48" hidden="0" customHeight="1">
      <x:c r="A178" s="28" t="str">
        <x:v>API-173</x:v>
      </x:c>
      <x:c r="B178" s="29" t="str">
        <x:v>Lalamove</x:v>
      </x:c>
      <x:c r="C178" s="29" t="str">
        <x:v>Webhook trùng/cũ không làm lùi đơn đã giao</x:v>
      </x:c>
      <x:c r="D178" s="30" t="str">
        <x:v>POST</x:v>
      </x:c>
      <x:c r="E178" s="29" t="str">
        <x:v>/api/shipping/lalamove/webhook</x:v>
      </x:c>
      <x:c r="F178" s="29" t="str">
        <x:v>Concurrency</x:v>
      </x:c>
      <x:c r="G178" s="30" t="str">
        <x:v>Critical</x:v>
      </x:c>
      <x:c r="H178" s="29" t="str">
        <x:v>Đơn đã nhận COMPLETED; các payload đều ký đúng.</x:v>
      </x:c>
      <x:c r="I178" s="29" t="str">
        <x:v>Lặp COMPLETED rồi gửi trạng thái active với timestamp cũ.</x:v>
      </x:c>
      <x:c r="J178" s="29" t="str">
        <x:v>1. Gửi event hoàn tất.
2. Lặp event và gửi event cũ.
3. So dữ liệu trước/sau.</x:v>
      </x:c>
      <x:c r="K178" s="30" t="n">
        <x:v>200</x:v>
      </x:c>
      <x:c r="L178" s="29" t="str">
        <x:v>Không lùi terminal status; không xử lý stock/payment/voucher hai lần.</x:v>
      </x:c>
      <x:c r="M178" s="30" t="str">
        <x:v>Not Run</x:v>
      </x:c>
      <x:c r="N178" s="29"/>
      <x:c r="O178" s="29"/>
      <x:c r="P178" s="31"/>
      <x:c r="Q178" s="29" t="str"/>
    </x:row>
    <x:row r="179" ht="48" hidden="0" customHeight="1">
      <x:c r="A179" s="32" t="str">
        <x:v>API-174</x:v>
      </x:c>
      <x:c r="B179" s="33" t="str">
        <x:v>Lalamove</x:v>
      </x:c>
      <x:c r="C179" s="33" t="str">
        <x:v>Customer refresh chỉ được đơn của mình</x:v>
      </x:c>
      <x:c r="D179" s="34" t="str">
        <x:v>POST</x:v>
      </x:c>
      <x:c r="E179" s="33" t="str">
        <x:v>/api/orders/:id/shipping/refresh</x:v>
      </x:c>
      <x:c r="F179" s="33" t="str">
        <x:v>Security</x:v>
      </x:c>
      <x:c r="G179" s="34" t="str">
        <x:v>Critical</x:v>
      </x:c>
      <x:c r="H179" s="33" t="str">
        <x:v>A sở hữu đơn Lalamove; dùng JWT B.</x:v>
      </x:c>
      <x:c r="I179" s="33" t="str">
        <x:v>orderId của A.</x:v>
      </x:c>
      <x:c r="J179" s="33" t="str">
        <x:v>1. Gọi refresh bằng token B.
2. Kiểm tra response và mock provider count.</x:v>
      </x:c>
      <x:c r="K179" s="34" t="n">
        <x:v>404</x:v>
      </x:c>
      <x:c r="L179" s="33" t="str">
        <x:v>Không trả dữ liệu đơn A và không gọi provider cho người không sở hữu.</x:v>
      </x:c>
      <x:c r="M179" s="30" t="str">
        <x:v>Not Run</x:v>
      </x:c>
      <x:c r="N179" s="33"/>
      <x:c r="O179" s="33"/>
      <x:c r="P179" s="35"/>
      <x:c r="Q179" s="33" t="str"/>
    </x:row>
    <x:row r="180" ht="48" hidden="0" customHeight="1">
      <x:c r="A180" s="28" t="str">
        <x:v>API-175</x:v>
      </x:c>
      <x:c r="B180" s="29" t="str">
        <x:v>Lalamove</x:v>
      </x:c>
      <x:c r="C180" s="29" t="str">
        <x:v>Refresh lỗi giữ trạng thái giao gần nhất</x:v>
      </x:c>
      <x:c r="D180" s="30" t="str">
        <x:v>POST</x:v>
      </x:c>
      <x:c r="E180" s="29" t="str">
        <x:v>/api/orders/:id/shipping/refresh</x:v>
      </x:c>
      <x:c r="F180" s="29" t="str">
        <x:v>Integration</x:v>
      </x:c>
      <x:c r="G180" s="30" t="str">
        <x:v>High</x:v>
      </x:c>
      <x:c r="H180" s="29" t="str">
        <x:v>Có JWT customer active; dùng dữ liệu test riêng. Có booking; mock provider lỗi mạng.</x:v>
      </x:c>
      <x:c r="I180" s="29" t="str">
        <x:v>Order của chính user.</x:v>
      </x:c>
      <x:c r="J180" s="29" t="str">
        <x:v>1. Chụp trạng thái.
2. Mock lỗi provider và refresh.
3. Đọc lại order.</x:v>
      </x:c>
      <x:c r="K180" s="30" t="str">
        <x:v>5xx</x:v>
      </x:c>
      <x:c r="L180" s="29" t="str">
        <x:v>Không đổi trạng thái đã lưu thành Delivered/Cancelled giả; không đổi stock/payment.</x:v>
      </x:c>
      <x:c r="M180" s="30" t="str">
        <x:v>Not Run</x:v>
      </x:c>
      <x:c r="N180" s="29"/>
      <x:c r="O180" s="29"/>
      <x:c r="P180" s="31"/>
      <x:c r="Q180" s="29" t="str"/>
    </x:row>
    <x:row r="181" ht="48" hidden="0" customHeight="1">
      <x:c r="A181" s="32" t="str">
        <x:v>API-176</x:v>
      </x:c>
      <x:c r="B181" s="33" t="str">
        <x:v>Lalamove</x:v>
      </x:c>
      <x:c r="C181" s="33" t="str">
        <x:v>Diagnostics và reconcile chỉ admin</x:v>
      </x:c>
      <x:c r="D181" s="34" t="str">
        <x:v>GET</x:v>
      </x:c>
      <x:c r="E181" s="33" t="str">
        <x:v>/api/shipping/lalamove/test-connection</x:v>
      </x:c>
      <x:c r="F181" s="33" t="str">
        <x:v>Security</x:v>
      </x:c>
      <x:c r="G181" s="34" t="str">
        <x:v>High</x:v>
      </x:c>
      <x:c r="H181" s="33" t="str">
        <x:v>Dùng customer token, sau đó admin token; sandbox test.</x:v>
      </x:c>
      <x:c r="I181" s="33" t="str">
        <x:v>Không có.</x:v>
      </x:c>
      <x:c r="J181" s="33" t="str">
        <x:v>1. Gọi bằng customer.
2. Gọi lại bằng admin.
3. Kiểm tra các trường nhạy cảm.</x:v>
      </x:c>
      <x:c r="K181" s="34" t="str">
        <x:v>403 (customer); 200/5xx (admin theo kết nối)</x:v>
      </x:c>
      <x:c r="L181" s="33" t="str">
        <x:v>Customer bị chặn; admin nhận kết quả chẩn đoán có cấu trúc, không lộ secret.</x:v>
      </x:c>
      <x:c r="M181" s="30" t="str">
        <x:v>Not Run</x:v>
      </x:c>
      <x:c r="N181" s="33"/>
      <x:c r="O181" s="33"/>
      <x:c r="P181" s="35"/>
      <x:c r="Q181" s="33" t="str"/>
    </x:row>
    <x:row r="182" ht="48" hidden="0" customHeight="1">
      <x:c r="A182" s="28" t="str">
        <x:v>API-177</x:v>
      </x:c>
      <x:c r="B182" s="29" t="str">
        <x:v>Lalamove</x:v>
      </x:c>
      <x:c r="C182" s="29" t="str">
        <x:v>Reconcile booking chưa rõ kết quả không liên kết sai đơn</x:v>
      </x:c>
      <x:c r="D182" s="30" t="str">
        <x:v>POST</x:v>
      </x:c>
      <x:c r="E182" s="29" t="str">
        <x:v>/api/shipping/lalamove/orders/:id/reconcile</x:v>
      </x:c>
      <x:c r="F182" s="29" t="str">
        <x:v>Security</x:v>
      </x:c>
      <x:c r="G182" s="30" t="str">
        <x:v>Critical</x:v>
      </x:c>
      <x:c r="H182" s="29" t="str">
        <x:v>Có JWT admin hợp lệ; dùng dữ liệu test riêng. Order có booking UNKNOWN; provider sandbox mock.</x:v>
      </x:c>
      <x:c r="I182" s="29" t="str">
        <x:v>remote booking có metadata/requestId không khớp.</x:v>
      </x:c>
      <x:c r="J182" s="29" t="str">
        <x:v>1. Seed booking metadata không khớp.
2. Gọi reconcile.
3. So booking ID và số lần dispatch.</x:v>
      </x:c>
      <x:c r="K182" s="30" t="str">
        <x:v>4xx</x:v>
      </x:c>
      <x:c r="L182" s="29" t="str">
        <x:v>Không gắn booking của đơn/user khác; không đặt lại chuyến để xử lý mơ hồ.</x:v>
      </x:c>
      <x:c r="M182" s="30" t="str">
        <x:v>Not Run</x:v>
      </x:c>
      <x:c r="N182" s="29"/>
      <x:c r="O182" s="29"/>
      <x:c r="P182" s="31"/>
      <x:c r="Q182" s="29" t="str"/>
    </x:row>
    <x:row r="183" ht="54" hidden="0" customHeight="1">
      <x:c r="A183" s="32" t="str">
        <x:v>API-178</x:v>
      </x:c>
      <x:c r="B183" s="33" t="str">
        <x:v>Payment</x:v>
      </x:c>
      <x:c r="C183" s="33" t="str">
        <x:v>Danh sách phương thức không lộ khoá cổng</x:v>
      </x:c>
      <x:c r="D183" s="34" t="str">
        <x:v>GET</x:v>
      </x:c>
      <x:c r="E183" s="33" t="str">
        <x:v>/api/payments/methods</x:v>
      </x:c>
      <x:c r="F183" s="33" t="str">
        <x:v>Security</x:v>
      </x:c>
      <x:c r="G183" s="34" t="str">
        <x:v>Critical</x:v>
      </x:c>
      <x:c r="H183" s="33" t="str">
        <x:v>Có JWT customer active; dùng dữ liệu test riêng.</x:v>
      </x:c>
      <x:c r="I183" s="33" t="str">
        <x:v>Không có.</x:v>
      </x:c>
      <x:c r="J183" s="33" t="str">
        <x:v>1. GET methods.
2. Kiểm tra schema và các trường nhạy cảm.</x:v>
      </x:c>
      <x:c r="K183" s="34" t="n">
        <x:v>200</x:v>
      </x:c>
      <x:c r="L183" s="33" t="str">
        <x:v>Trả COD/ZaloPay/Visa cùng khả dụng; không có APP_ID/key1/key2/signature bí mật.</x:v>
      </x:c>
      <x:c r="M183" s="30" t="str">
        <x:v>Not Run</x:v>
      </x:c>
      <x:c r="N183" s="33"/>
      <x:c r="O183" s="33"/>
      <x:c r="P183" s="35"/>
      <x:c r="Q183" s="33" t="str">
        <x:v>Nguồn: docs/PAYMENTS_SANDBOX.md; routes/paymentRoutes.js; services/payments.js.</x:v>
      </x:c>
    </x:row>
    <x:row r="184" ht="48" hidden="0" customHeight="1">
      <x:c r="A184" s="28" t="str">
        <x:v>API-179</x:v>
      </x:c>
      <x:c r="B184" s="29" t="str">
        <x:v>Payment</x:v>
      </x:c>
      <x:c r="C184" s="29" t="str">
        <x:v>Thiếu cấu hình online vẫn cho COD</x:v>
      </x:c>
      <x:c r="D184" s="30" t="str">
        <x:v>GET</x:v>
      </x:c>
      <x:c r="E184" s="29" t="str">
        <x:v>/api/payments/methods</x:v>
      </x:c>
      <x:c r="F184" s="29" t="str">
        <x:v>Configuration</x:v>
      </x:c>
      <x:c r="G184" s="30" t="str">
        <x:v>High</x:v>
      </x:c>
      <x:c r="H184" s="29" t="str">
        <x:v>Sandbox test riêng; tắt/missing keys cổng, không sửa env đang phục vụ.</x:v>
      </x:c>
      <x:c r="I184" s="29" t="str">
        <x:v>Online chưa cấu hình.</x:v>
      </x:c>
      <x:c r="J184" s="29" t="str">
        <x:v>1. Chạy fixture không có online keys.
2. GET methods.
3. Xác nhận COD còn khả dụng.</x:v>
      </x:c>
      <x:c r="K184" s="30" t="n">
        <x:v>200</x:v>
      </x:c>
      <x:c r="L184" s="29" t="str">
        <x:v>COD vẫn enabled; online disabled có lý do, không trả link thanh toán giả.</x:v>
      </x:c>
      <x:c r="M184" s="30" t="str">
        <x:v>Not Run</x:v>
      </x:c>
      <x:c r="N184" s="29"/>
      <x:c r="O184" s="29"/>
      <x:c r="P184" s="31"/>
      <x:c r="Q184" s="29" t="str"/>
    </x:row>
    <x:row r="185" ht="48" hidden="0" customHeight="1">
      <x:c r="A185" s="32" t="str">
        <x:v>API-180</x:v>
      </x:c>
      <x:c r="B185" s="33" t="str">
        <x:v>Payment</x:v>
      </x:c>
      <x:c r="C185" s="33" t="str">
        <x:v>Online order giữ tồn kho nhưng chưa book Lalamove</x:v>
      </x:c>
      <x:c r="D185" s="34" t="str">
        <x:v>POST</x:v>
      </x:c>
      <x:c r="E185" s="33" t="str">
        <x:v>/api/orders</x:v>
      </x:c>
      <x:c r="F185" s="33" t="str">
        <x:v>Business Rule</x:v>
      </x:c>
      <x:c r="G185" s="34" t="str">
        <x:v>Critical</x:v>
      </x:c>
      <x:c r="H185" s="33" t="str">
        <x:v>Có JWT customer active; dùng dữ liệu test riêng. Có prepaid quote còn hạn; sandbox online cấu hình.</x:v>
      </x:c>
      <x:c r="I185" s="33" t="str">
        <x:v>{paymentMethod:"ZaloPay",checkoutKey:UUID,shippingQuoteId,deliveryMethod:"standard"}</x:v>
      </x:c>
      <x:c r="J185" s="33" t="str">
        <x:v>1. Chụp stock và booking count.
2. Tạo order online.
3. So payment, stock và dispatch count.</x:v>
      </x:c>
      <x:c r="K185" s="34" t="n">
        <x:v>201</x:v>
      </x:c>
      <x:c r="L185" s="33" t="str">
        <x:v>Order Pending, giữ stock/voucher một lần; shipping WAITING_FOR_PAYMENT; chưa dispatch.</x:v>
      </x:c>
      <x:c r="M185" s="30" t="str">
        <x:v>Not Run</x:v>
      </x:c>
      <x:c r="N185" s="33"/>
      <x:c r="O185" s="33"/>
      <x:c r="P185" s="35"/>
      <x:c r="Q185" s="33" t="str"/>
    </x:row>
    <x:row r="186" ht="48" hidden="0" customHeight="1">
      <x:c r="A186" s="28" t="str">
        <x:v>API-181</x:v>
      </x:c>
      <x:c r="B186" s="29" t="str">
        <x:v>Payment</x:v>
      </x:c>
      <x:c r="C186" s="29" t="str">
        <x:v>Retry checkoutKey dùng lại một đơn</x:v>
      </x:c>
      <x:c r="D186" s="30" t="str">
        <x:v>POST</x:v>
      </x:c>
      <x:c r="E186" s="29" t="str">
        <x:v>/api/orders</x:v>
      </x:c>
      <x:c r="F186" s="29" t="str">
        <x:v>Concurrency</x:v>
      </x:c>
      <x:c r="G186" s="30" t="str">
        <x:v>Critical</x:v>
      </x:c>
      <x:c r="H186" s="29" t="str">
        <x:v>Có JWT customer active; dùng dữ liệu test riêng. Cart đủ stock; online sandbox.</x:v>
      </x:c>
      <x:c r="I186" s="29" t="str">
        <x:v>Gửi hai lần cùng checkoutKey, items và paymentMethod.</x:v>
      </x:c>
      <x:c r="J186" s="29" t="str">
        <x:v>1. Gửi request thứ nhất.
2. Retry cùng UUID.
3. So ID, stock, Order count và usage.</x:v>
      </x:c>
      <x:c r="K186" s="30" t="str">
        <x:v>201/200 theo lần gọi</x:v>
      </x:c>
      <x:c r="L186" s="29" t="str">
        <x:v>Trả cùng order ID; chỉ trừ tồn kho và usage voucher một lần.</x:v>
      </x:c>
      <x:c r="M186" s="30" t="str">
        <x:v>Not Run</x:v>
      </x:c>
      <x:c r="N186" s="29"/>
      <x:c r="O186" s="29"/>
      <x:c r="P186" s="31"/>
      <x:c r="Q186" s="29" t="str"/>
    </x:row>
    <x:row r="187" ht="54" hidden="0" customHeight="1">
      <x:c r="A187" s="32" t="str">
        <x:v>API-182</x:v>
      </x:c>
      <x:c r="B187" s="33" t="str">
        <x:v>Payment</x:v>
      </x:c>
      <x:c r="C187" s="33" t="str">
        <x:v>Khởi tạo phiên ZaloPay sandbox</x:v>
      </x:c>
      <x:c r="D187" s="34" t="str">
        <x:v>POST</x:v>
      </x:c>
      <x:c r="E187" s="33" t="str">
        <x:v>/api/payments/:orderId/checkout</x:v>
      </x:c>
      <x:c r="F187" s="33" t="str">
        <x:v>Integration</x:v>
      </x:c>
      <x:c r="G187" s="34" t="str">
        <x:v>Critical</x:v>
      </x:c>
      <x:c r="H187" s="33" t="str">
        <x:v>Có JWT customer active; dùng dữ liệu test riêng. Có order ZaloPay Pending của user; sandbox mock hoạt động.</x:v>
      </x:c>
      <x:c r="I187" s="33" t="str">
        <x:v>orderId hợp lệ; không truyền số thẻ/CVV/total từ client.</x:v>
      </x:c>
      <x:c r="J187" s="33" t="str">
        <x:v>1. Tạo order test đúng phương thức.
2. POST session.
3. Kiểm tra amount provider, phương thức và URL.</x:v>
      </x:c>
      <x:c r="K187" s="34" t="n">
        <x:v>200</x:v>
      </x:c>
      <x:c r="L187" s="33" t="str">
        <x:v>Dùng total đã lưu; trả URL sandbox HTTPS an toàn; chọn đúng wallet hoặc international-card.</x:v>
      </x:c>
      <x:c r="M187" s="30" t="str">
        <x:v>Not Run</x:v>
      </x:c>
      <x:c r="N187" s="33"/>
      <x:c r="O187" s="33"/>
      <x:c r="P187" s="35"/>
      <x:c r="Q187" s="33" t="str"/>
    </x:row>
    <x:row r="188" ht="54" hidden="0" customHeight="1">
      <x:c r="A188" s="28" t="str">
        <x:v>API-183</x:v>
      </x:c>
      <x:c r="B188" s="29" t="str">
        <x:v>Payment</x:v>
      </x:c>
      <x:c r="C188" s="29" t="str">
        <x:v>Khởi tạo phiên Visa sandbox</x:v>
      </x:c>
      <x:c r="D188" s="30" t="str">
        <x:v>POST</x:v>
      </x:c>
      <x:c r="E188" s="29" t="str">
        <x:v>/api/payments/visa/:orderId/checkout</x:v>
      </x:c>
      <x:c r="F188" s="29" t="str">
        <x:v>Integration</x:v>
      </x:c>
      <x:c r="G188" s="30" t="str">
        <x:v>Critical</x:v>
      </x:c>
      <x:c r="H188" s="29" t="str">
        <x:v>Có JWT customer active; dùng dữ liệu test riêng. Có order Visa Pending của user; sandbox mock hoạt động.</x:v>
      </x:c>
      <x:c r="I188" s="29" t="str">
        <x:v>orderId hợp lệ; không truyền số thẻ/CVV/total từ client.</x:v>
      </x:c>
      <x:c r="J188" s="29" t="str">
        <x:v>1. Tạo order test đúng phương thức.
2. POST session.
3. Kiểm tra amount provider, phương thức và URL.</x:v>
      </x:c>
      <x:c r="K188" s="30" t="n">
        <x:v>200</x:v>
      </x:c>
      <x:c r="L188" s="29" t="str">
        <x:v>Dùng total đã lưu; trả URL sandbox HTTPS an toàn; chọn đúng wallet hoặc international-card.</x:v>
      </x:c>
      <x:c r="M188" s="30" t="str">
        <x:v>Not Run</x:v>
      </x:c>
      <x:c r="N188" s="29"/>
      <x:c r="O188" s="29"/>
      <x:c r="P188" s="31"/>
      <x:c r="Q188" s="29" t="str"/>
    </x:row>
    <x:row r="189" ht="48" hidden="0" customHeight="1">
      <x:c r="A189" s="32" t="str">
        <x:v>API-184</x:v>
      </x:c>
      <x:c r="B189" s="33" t="str">
        <x:v>Payment</x:v>
      </x:c>
      <x:c r="C189" s="33" t="str">
        <x:v>Gọi lại session không tạo lần thu tiền mới</x:v>
      </x:c>
      <x:c r="D189" s="34" t="str">
        <x:v>POST</x:v>
      </x:c>
      <x:c r="E189" s="33" t="str">
        <x:v>/api/payments/:orderId/checkout</x:v>
      </x:c>
      <x:c r="F189" s="33" t="str">
        <x:v>Concurrency</x:v>
      </x:c>
      <x:c r="G189" s="34" t="str">
        <x:v>Critical</x:v>
      </x:c>
      <x:c r="H189" s="33" t="str">
        <x:v>Có JWT customer active; dùng dữ liệu test riêng. Order có session Pending còn hạn.</x:v>
      </x:c>
      <x:c r="I189" s="33" t="str">
        <x:v>Cùng orderId.</x:v>
      </x:c>
      <x:c r="J189" s="33" t="str">
        <x:v>1. Khởi tạo session.
2. Gọi lại checkout.
3. So transactionId và số request provider.</x:v>
      </x:c>
      <x:c r="K189" s="34" t="n">
        <x:v>200</x:v>
      </x:c>
      <x:c r="L189" s="33" t="str">
        <x:v>Dùng lại session/transaction đã lưu; không gọi create charge lần hai.</x:v>
      </x:c>
      <x:c r="M189" s="30" t="str">
        <x:v>Not Run</x:v>
      </x:c>
      <x:c r="N189" s="33"/>
      <x:c r="O189" s="33"/>
      <x:c r="P189" s="35"/>
      <x:c r="Q189" s="33" t="str"/>
    </x:row>
    <x:row r="190" ht="48" hidden="0" customHeight="1">
      <x:c r="A190" s="28" t="str">
        <x:v>API-185</x:v>
      </x:c>
      <x:c r="B190" s="29" t="str">
        <x:v>Payment</x:v>
      </x:c>
      <x:c r="C190" s="29" t="str">
        <x:v>Visa endpoint không nhận đơn ví hoặc COD</x:v>
      </x:c>
      <x:c r="D190" s="30" t="str">
        <x:v>POST</x:v>
      </x:c>
      <x:c r="E190" s="29" t="str">
        <x:v>/api/payments/visa/:orderId/checkout</x:v>
      </x:c>
      <x:c r="F190" s="29" t="str">
        <x:v>Validation</x:v>
      </x:c>
      <x:c r="G190" s="30" t="str">
        <x:v>Critical</x:v>
      </x:c>
      <x:c r="H190" s="29" t="str">
        <x:v>Có JWT customer active; dùng dữ liệu test riêng. Order của user nhưng paymentMethod=COD/ZaloPay.</x:v>
      </x:c>
      <x:c r="I190" s="29" t="str">
        <x:v>orderId sai loại phương thức.</x:v>
      </x:c>
      <x:c r="J190" s="29" t="str">
        <x:v>1. Gọi Visa checkout cho từng loại sai.
2. Kiểm tra HTTP/code và provider count.</x:v>
      </x:c>
      <x:c r="K190" s="30" t="n">
        <x:v>409</x:v>
      </x:c>
      <x:c r="L190" s="29" t="str">
        <x:v>PAYMENT_METHOD_MISMATCH; từ chối trước khi gọi gateway.</x:v>
      </x:c>
      <x:c r="M190" s="30" t="str">
        <x:v>Not Run</x:v>
      </x:c>
      <x:c r="N190" s="29"/>
      <x:c r="O190" s="29"/>
      <x:c r="P190" s="31"/>
      <x:c r="Q190" s="29" t="str"/>
    </x:row>
    <x:row r="191" ht="54" hidden="0" customHeight="1">
      <x:c r="A191" s="32" t="str">
        <x:v>API-186</x:v>
      </x:c>
      <x:c r="B191" s="33" t="str">
        <x:v>Payment</x:v>
      </x:c>
      <x:c r="C191" s="33" t="str">
        <x:v>Không lấy session/status của order người khác</x:v>
      </x:c>
      <x:c r="D191" s="34" t="str">
        <x:v>GET</x:v>
      </x:c>
      <x:c r="E191" s="33" t="str">
        <x:v>/api/payments/:orderId/status</x:v>
      </x:c>
      <x:c r="F191" s="33" t="str">
        <x:v>Security</x:v>
      </x:c>
      <x:c r="G191" s="34" t="str">
        <x:v>Critical</x:v>
      </x:c>
      <x:c r="H191" s="33" t="str">
        <x:v>A có đơn; B có token active.</x:v>
      </x:c>
      <x:c r="I191" s="33" t="str">
        <x:v>orderId của A; token B.</x:v>
      </x:c>
      <x:c r="J191" s="33" t="str">
        <x:v>1. Gọi status với token B.
2. Thử endpoint Visa tương ứng.
3. Kiểm tra response không có dữ liệu đơn.</x:v>
      </x:c>
      <x:c r="K191" s="34" t="n">
        <x:v>404</x:v>
      </x:c>
      <x:c r="L191" s="33" t="str">
        <x:v>Không lộ URL, amount hoặc trạng thái riêng tư của A.</x:v>
      </x:c>
      <x:c r="M191" s="30" t="str">
        <x:v>Not Run</x:v>
      </x:c>
      <x:c r="N191" s="33"/>
      <x:c r="O191" s="33"/>
      <x:c r="P191" s="35"/>
      <x:c r="Q191" s="33" t="str"/>
    </x:row>
    <x:row r="192" ht="54" hidden="0" customHeight="1">
      <x:c r="A192" s="28" t="str">
        <x:v>API-187</x:v>
      </x:c>
      <x:c r="B192" s="29" t="str">
        <x:v>Payment</x:v>
      </x:c>
      <x:c r="C192" s="29" t="str">
        <x:v>Không chấp nhận redirect ngoài host sandbox</x:v>
      </x:c>
      <x:c r="D192" s="30" t="str">
        <x:v>POST</x:v>
      </x:c>
      <x:c r="E192" s="29" t="str">
        <x:v>/api/payments/:orderId/checkout</x:v>
      </x:c>
      <x:c r="F192" s="29" t="str">
        <x:v>Security</x:v>
      </x:c>
      <x:c r="G192" s="30" t="str">
        <x:v>Critical</x:v>
      </x:c>
      <x:c r="H192" s="29" t="str">
        <x:v>Có JWT customer active; dùng dữ liệu test riêng. Mock gateway trả URL độc hại.</x:v>
      </x:c>
      <x:c r="I192" s="29" t="str">
        <x:v>URL HTTP, host giả, port lạ hoặc có credentials.</x:v>
      </x:c>
      <x:c r="J192" s="29" t="str">
        <x:v>1. Mock từng URL sai.
2. Tạo session.
3. Kiểm tra session/order vẫn được bảo vệ.</x:v>
      </x:c>
      <x:c r="K192" s="30" t="str">
        <x:v>5xx/4xx theo lỗi cấu hình</x:v>
      </x:c>
      <x:c r="L192" s="29" t="str">
        <x:v>Không trả URL mở được cho client; không tạo charge thứ hai để thay URL bị từ chối.</x:v>
      </x:c>
      <x:c r="M192" s="30" t="str">
        <x:v>Not Run</x:v>
      </x:c>
      <x:c r="N192" s="29"/>
      <x:c r="O192" s="29"/>
      <x:c r="P192" s="31"/>
      <x:c r="Q192" s="29" t="str"/>
    </x:row>
    <x:row r="193" ht="48" hidden="0" customHeight="1">
      <x:c r="A193" s="32" t="str">
        <x:v>API-188</x:v>
      </x:c>
      <x:c r="B193" s="33" t="str">
        <x:v>Payment</x:v>
      </x:c>
      <x:c r="C193" s="33" t="str">
        <x:v>Callback hợp lệ đánh dấu Paid và dispatch đúng một lần</x:v>
      </x:c>
      <x:c r="D193" s="34" t="str">
        <x:v>POST</x:v>
      </x:c>
      <x:c r="E193" s="33" t="str">
        <x:v>/api/payments/zalopay/callback</x:v>
      </x:c>
      <x:c r="F193" s="33" t="str">
        <x:v>Integration</x:v>
      </x:c>
      <x:c r="G193" s="34" t="str">
        <x:v>Critical</x:v>
      </x:c>
      <x:c r="H193" s="33" t="str">
        <x:v>Order online Pending; callback ký đúng key2 trong fixture.</x:v>
      </x:c>
      <x:c r="I193" s="33" t="str">
        <x:v>app_id, app_trans_id, amount đúng order.</x:v>
      </x:c>
      <x:c r="J193" s="33" t="str">
        <x:v>1. Gửi callback hợp lệ hai lần.
2. GET status/order.
3. Đếm dispatch và kiểm tra stock/usage.</x:v>
      </x:c>
      <x:c r="K193" s="34" t="n">
        <x:v>200</x:v>
      </x:c>
      <x:c r="L193" s="33" t="str">
        <x:v>Paid được lưu; đơn Lalamove chỉ dispatch một lần; callback trùng không trừ stock/lượt voucher thêm.</x:v>
      </x:c>
      <x:c r="M193" s="30" t="str">
        <x:v>Not Run</x:v>
      </x:c>
      <x:c r="N193" s="33"/>
      <x:c r="O193" s="33"/>
      <x:c r="P193" s="35"/>
      <x:c r="Q193" s="33" t="str"/>
    </x:row>
    <x:row r="194" ht="54" hidden="0" customHeight="1">
      <x:c r="A194" s="28" t="str">
        <x:v>API-189</x:v>
      </x:c>
      <x:c r="B194" s="29" t="str">
        <x:v>Payment</x:v>
      </x:c>
      <x:c r="C194" s="29" t="str">
        <x:v>Callback sửa amount/chữ ký không được đánh dấu Paid</x:v>
      </x:c>
      <x:c r="D194" s="30" t="str">
        <x:v>POST</x:v>
      </x:c>
      <x:c r="E194" s="29" t="str">
        <x:v>/api/payments/zalopay/callback</x:v>
      </x:c>
      <x:c r="F194" s="29" t="str">
        <x:v>Security</x:v>
      </x:c>
      <x:c r="G194" s="30" t="str">
        <x:v>Critical</x:v>
      </x:c>
      <x:c r="H194" s="29" t="str">
        <x:v>Order online Pending.</x:v>
      </x:c>
      <x:c r="I194" s="29" t="str">
        <x:v>MAC sai hoặc amount khác total đã lưu.</x:v>
      </x:c>
      <x:c r="J194" s="29" t="str">
        <x:v>1. Gửi callback giả.
2. Kiểm tra return_code trong body, không chỉ HTTP.
3. So DB và booking count.</x:v>
      </x:c>
      <x:c r="K194" s="30" t="n">
        <x:v>200</x:v>
      </x:c>
      <x:c r="L194" s="29" t="str">
        <x:v>ACK nghiệp vụ báo thất bại theo giao thức callback; order không Paid và không dispatch.</x:v>
      </x:c>
      <x:c r="M194" s="30" t="str">
        <x:v>Not Run</x:v>
      </x:c>
      <x:c r="N194" s="29"/>
      <x:c r="O194" s="29"/>
      <x:c r="P194" s="31"/>
      <x:c r="Q194" s="29" t="str">
        <x:v>Callback dùng HTTP 200 cho ACK; phải kiểm tra nội dung xác minh.</x:v>
      </x:c>
    </x:row>
    <x:row r="195" ht="54" hidden="0" customHeight="1">
      <x:c r="A195" s="32" t="str">
        <x:v>API-190</x:v>
      </x:c>
      <x:c r="B195" s="33" t="str">
        <x:v>Payment</x:v>
      </x:c>
      <x:c r="C195" s="33" t="str">
        <x:v>Query khôi phục kết quả khi mất callback</x:v>
      </x:c>
      <x:c r="D195" s="34" t="str">
        <x:v>GET</x:v>
      </x:c>
      <x:c r="E195" s="33" t="str">
        <x:v>/api/payments/:orderId/status</x:v>
      </x:c>
      <x:c r="F195" s="33" t="str">
        <x:v>Integration</x:v>
      </x:c>
      <x:c r="G195" s="34" t="str">
        <x:v>Critical</x:v>
      </x:c>
      <x:c r="H195" s="33" t="str">
        <x:v>Có JWT customer active; dùng dữ liệu test riêng. Mock gateway đã thanh toán; DB còn Pending.</x:v>
      </x:c>
      <x:c r="I195" s="33" t="str">
        <x:v>Order ID của user.</x:v>
      </x:c>
      <x:c r="J195" s="33" t="str">
        <x:v>1. Bỏ qua callback trong fixture.
2. GET status.
3. Kiểm tra Paid và không tăng charge count.</x:v>
      </x:c>
      <x:c r="K195" s="34" t="n">
        <x:v>200</x:v>
      </x:c>
      <x:c r="L195" s="33" t="str">
        <x:v>Server xác minh giao dịch/amount rồi lưu Paid và dispatch đúng một lần.</x:v>
      </x:c>
      <x:c r="M195" s="30" t="str">
        <x:v>Not Run</x:v>
      </x:c>
      <x:c r="N195" s="33"/>
      <x:c r="O195" s="33"/>
      <x:c r="P195" s="35"/>
      <x:c r="Q195" s="33" t="str"/>
    </x:row>
    <x:row r="196" ht="48" hidden="0" customHeight="1">
      <x:c r="A196" s="28" t="str">
        <x:v>API-191</x:v>
      </x:c>
      <x:c r="B196" s="29" t="str">
        <x:v>Payment</x:v>
      </x:c>
      <x:c r="C196" s="29" t="str">
        <x:v>Browser return success không tự chứng minh đã trả tiền</x:v>
      </x:c>
      <x:c r="D196" s="30" t="str">
        <x:v>GET</x:v>
      </x:c>
      <x:c r="E196" s="29" t="str">
        <x:v>/api/payments/:orderId/status</x:v>
      </x:c>
      <x:c r="F196" s="29" t="str">
        <x:v>Security</x:v>
      </x:c>
      <x:c r="G196" s="30" t="str">
        <x:v>Critical</x:v>
      </x:c>
      <x:c r="H196" s="29" t="str">
        <x:v>Có JWT customer active; dùng dữ liệu test riêng. Provider xác nhận chưa thanh toán.</x:v>
      </x:c>
      <x:c r="I196" s="29" t="str">
        <x:v>Mở checkout return kèm payment=success, sau đó gọi status.</x:v>
      </x:c>
      <x:c r="J196" s="29" t="str">
        <x:v>1. Giả return success.
2. Gọi status thật trong fixture.
3. Kiểm tra order không Paid.</x:v>
      </x:c>
      <x:c r="K196" s="30" t="n">
        <x:v>200</x:v>
      </x:c>
      <x:c r="L196" s="29" t="str">
        <x:v>Vẫn Pending nếu provider chưa Paid; không tin query string trình duyệt.</x:v>
      </x:c>
      <x:c r="M196" s="30" t="str">
        <x:v>Not Run</x:v>
      </x:c>
      <x:c r="N196" s="29"/>
      <x:c r="O196" s="29"/>
      <x:c r="P196" s="31"/>
      <x:c r="Q196" s="29" t="str"/>
    </x:row>
    <x:row r="197" ht="48" hidden="0" customHeight="1">
      <x:c r="A197" s="32" t="str">
        <x:v>API-192</x:v>
      </x:c>
      <x:c r="B197" s="33" t="str">
        <x:v>Payment</x:v>
      </x:c>
      <x:c r="C197" s="33" t="str">
        <x:v>Timeout tạo phiên không tạo phiên thứ hai</x:v>
      </x:c>
      <x:c r="D197" s="34" t="str">
        <x:v>POST</x:v>
      </x:c>
      <x:c r="E197" s="33" t="str">
        <x:v>/api/payments/:orderId/checkout</x:v>
      </x:c>
      <x:c r="F197" s="33" t="str">
        <x:v>Integration</x:v>
      </x:c>
      <x:c r="G197" s="34" t="str">
        <x:v>Critical</x:v>
      </x:c>
      <x:c r="H197" s="33" t="str">
        <x:v>Có JWT customer active; dùng dữ liệu test riêng. Gateway create timeout mơ hồ sau khi gửi request.</x:v>
      </x:c>
      <x:c r="I197" s="33" t="str">
        <x:v>Lặp lại yêu cầu session cùng order.</x:v>
      </x:c>
      <x:c r="J197" s="33" t="str">
        <x:v>1. Mock create timeout.
2. Retry checkout/status.
3. So transactionId, charge count và stock.</x:v>
      </x:c>
      <x:c r="K197" s="34" t="str">
        <x:v>5xx/200 theo trạng thái phiên</x:v>
      </x:c>
      <x:c r="L197" s="33" t="str">
        <x:v>Giữ transaction để đối soát Unknown; không tự tạo charge mới hoặc hoàn stock khi chưa rõ kết quả.</x:v>
      </x:c>
      <x:c r="M197" s="30" t="str">
        <x:v>Not Run</x:v>
      </x:c>
      <x:c r="N197" s="33"/>
      <x:c r="O197" s="33"/>
      <x:c r="P197" s="35"/>
      <x:c r="Q197" s="33" t="str"/>
    </x:row>
    <x:row r="198" ht="48" hidden="0" customHeight="1">
      <x:c r="A198" s="28" t="str">
        <x:v>API-193</x:v>
      </x:c>
      <x:c r="B198" s="29" t="str">
        <x:v>Payment</x:v>
      </x:c>
      <x:c r="C198" s="29" t="str">
        <x:v>Từ chối create rõ ràng chuyển đơn Failed</x:v>
      </x:c>
      <x:c r="D198" s="30" t="str">
        <x:v>POST</x:v>
      </x:c>
      <x:c r="E198" s="29" t="str">
        <x:v>/api/payments/:orderId/checkout</x:v>
      </x:c>
      <x:c r="F198" s="29" t="str">
        <x:v>Business Rule</x:v>
      </x:c>
      <x:c r="G198" s="30" t="str">
        <x:v>Critical</x:v>
      </x:c>
      <x:c r="H198" s="29" t="str">
        <x:v>Có JWT customer active; dùng dữ liệu test riêng. Mock provider từ chối chắc chắn.</x:v>
      </x:c>
      <x:c r="I198" s="29" t="str">
        <x:v>Order online chưa có giao dịch thành công.</x:v>
      </x:c>
      <x:c r="J198" s="29" t="str">
        <x:v>1. Mock definitive rejection.
2. Gọi tạo phiên.
3. Đọc order và kiểm tra rollback.</x:v>
      </x:c>
      <x:c r="K198" s="30" t="str">
        <x:v>5xx/4xx theo lỗi provider</x:v>
      </x:c>
      <x:c r="L198" s="29" t="str">
        <x:v>Order/payment Failed; hoàn stock và usage voucher đúng một lần; không book chuyến.</x:v>
      </x:c>
      <x:c r="M198" s="30" t="str">
        <x:v>Not Run</x:v>
      </x:c>
      <x:c r="N198" s="29"/>
      <x:c r="O198" s="29"/>
      <x:c r="P198" s="31"/>
      <x:c r="Q198" s="29" t="str"/>
    </x:row>
    <x:row r="199" ht="48" hidden="0" customHeight="1">
      <x:c r="A199" s="32" t="str">
        <x:v>API-194</x:v>
      </x:c>
      <x:c r="B199" s="33" t="str">
        <x:v>Payment</x:v>
      </x:c>
      <x:c r="C199" s="33" t="str">
        <x:v>Hết cửa sổ thanh toán và xác nhận chưa trả</x:v>
      </x:c>
      <x:c r="D199" s="34" t="str">
        <x:v>GET</x:v>
      </x:c>
      <x:c r="E199" s="33" t="str">
        <x:v>/api/payments/:orderId/status</x:v>
      </x:c>
      <x:c r="F199" s="33" t="str">
        <x:v>Boundary</x:v>
      </x:c>
      <x:c r="G199" s="34" t="str">
        <x:v>Critical</x:v>
      </x:c>
      <x:c r="H199" s="33" t="str">
        <x:v>Có JWT customer active; dùng dữ liệu test riêng. Session đã hết hạn; provider xác nhận chưa thanh toán.</x:v>
      </x:c>
      <x:c r="I199" s="33" t="str">
        <x:v>Thời gian vượt expiresAt.</x:v>
      </x:c>
      <x:c r="J199" s="33" t="str">
        <x:v>1. Đẩy clock fixture qua hạn.
2. Query hai lần.
3. So Failed, lý do và hoàn tồn kho.</x:v>
      </x:c>
      <x:c r="K199" s="34" t="n">
        <x:v>200</x:v>
      </x:c>
      <x:c r="L199" s="33" t="str">
        <x:v>Order/payment thành Failed; có lý do; stock/voucher được trả một lần, không có link trả tiếp.</x:v>
      </x:c>
      <x:c r="M199" s="30" t="str">
        <x:v>Not Run</x:v>
      </x:c>
      <x:c r="N199" s="33"/>
      <x:c r="O199" s="33"/>
      <x:c r="P199" s="35"/>
      <x:c r="Q199" s="33" t="str"/>
    </x:row>
    <x:row r="200" ht="48" hidden="0" customHeight="1">
      <x:c r="A200" s="28" t="str">
        <x:v>API-195</x:v>
      </x:c>
      <x:c r="B200" s="29" t="str">
        <x:v>Payment</x:v>
      </x:c>
      <x:c r="C200" s="29" t="str">
        <x:v>Hết hạn nhưng query lỗi mạng không tự Failed</x:v>
      </x:c>
      <x:c r="D200" s="30" t="str">
        <x:v>GET</x:v>
      </x:c>
      <x:c r="E200" s="29" t="str">
        <x:v>/api/payments/:orderId/status</x:v>
      </x:c>
      <x:c r="F200" s="29" t="str">
        <x:v>Integration</x:v>
      </x:c>
      <x:c r="G200" s="30" t="str">
        <x:v>Critical</x:v>
      </x:c>
      <x:c r="H200" s="29" t="str">
        <x:v>Có JWT customer active; dùng dữ liệu test riêng. Session hết hạn; provider timeout/processing.</x:v>
      </x:c>
      <x:c r="I200" s="29" t="str">
        <x:v>Mock network error hoặc kết quả processing.</x:v>
      </x:c>
      <x:c r="J200" s="29" t="str">
        <x:v>1. Mock lỗi sau expiresAt.
2. Gọi status.
3. Đọc DB và kiểm tra stock còn giữ.</x:v>
      </x:c>
      <x:c r="K200" s="30" t="str">
        <x:v>200/5xx theo lỗi xác minh</x:v>
      </x:c>
      <x:c r="L200" s="29" t="str">
        <x:v>Không coi lỗi mạng là chưa trả; giữ Pending/Unknown để đối soát; không hoàn stock vội.</x:v>
      </x:c>
      <x:c r="M200" s="30" t="str">
        <x:v>Not Run</x:v>
      </x:c>
      <x:c r="N200" s="29"/>
      <x:c r="O200" s="29"/>
      <x:c r="P200" s="31"/>
      <x:c r="Q200" s="29" t="str"/>
    </x:row>
    <x:row r="201" ht="48" hidden="0" customHeight="1">
      <x:c r="A201" s="32" t="str">
        <x:v>API-196</x:v>
      </x:c>
      <x:c r="B201" s="33" t="str">
        <x:v>Payment</x:v>
      </x:c>
      <x:c r="C201" s="33" t="str">
        <x:v>Job nền xử lý checkout bỏ dở khi đã đóng trình duyệt</x:v>
      </x:c>
      <x:c r="D201" s="34" t="str">
        <x:v>JOB</x:v>
      </x:c>
      <x:c r="E201" s="33" t="str">
        <x:v>services/payments.js: reconciliation</x:v>
      </x:c>
      <x:c r="F201" s="33" t="str">
        <x:v>Integration</x:v>
      </x:c>
      <x:c r="G201" s="34" t="str">
        <x:v>High</x:v>
      </x:c>
      <x:c r="H201" s="33" t="str">
        <x:v>Môi trường test clock; có order hết hạn, chưa mở session.</x:v>
      </x:c>
      <x:c r="I201" s="33" t="str">
        <x:v>Không có browser/tab đang chạy.</x:v>
      </x:c>
      <x:c r="J201" s="33" t="str">
        <x:v>1. Tạo order test chưa khởi tạo gateway.
2. Qua hạn và chạy job fixture.
3. Đọc order/stock/voucher.</x:v>
      </x:c>
      <x:c r="K201" s="34" t="str">
        <x:v>N/A (job nội bộ)</x:v>
      </x:c>
      <x:c r="L201" s="33" t="str">
        <x:v>Sau job, đơn chưa trả được xác nhận Failed và giải phóng reservation một lần.</x:v>
      </x:c>
      <x:c r="M201" s="30" t="str">
        <x:v>Not Run</x:v>
      </x:c>
      <x:c r="N201" s="33"/>
      <x:c r="O201" s="33"/>
      <x:c r="P201" s="35"/>
      <x:c r="Q201" s="33" t="str">
        <x:v>Không phải endpoint HTTP; không gọi job vào dữ liệu khách thật.</x:v>
      </x:c>
    </x:row>
    <x:row r="202" ht="54" hidden="0" customHeight="1">
      <x:c r="A202" s="28" t="str">
        <x:v>API-197</x:v>
      </x:c>
      <x:c r="B202" s="29" t="str">
        <x:v>Payment</x:v>
      </x:c>
      <x:c r="C202" s="29" t="str">
        <x:v>Paid đến muộn sau Failed cần hỗ trợ hoàn tiền</x:v>
      </x:c>
      <x:c r="D202" s="30" t="str">
        <x:v>POST</x:v>
      </x:c>
      <x:c r="E202" s="29" t="str">
        <x:v>/api/payments/zalopay/callback</x:v>
      </x:c>
      <x:c r="F202" s="29" t="str">
        <x:v>Concurrency</x:v>
      </x:c>
      <x:c r="G202" s="30" t="str">
        <x:v>Critical</x:v>
      </x:c>
      <x:c r="H202" s="29" t="str">
        <x:v>Order đã Failed và đã hoàn stock; callback muộn ký hợp lệ.</x:v>
      </x:c>
      <x:c r="I202" s="29" t="str">
        <x:v>amount/transaction khớp đơn cũ.</x:v>
      </x:c>
      <x:c r="J202" s="29" t="str">
        <x:v>1. Chuẩn bị Failed order.
2. Gửi callback Paid muộn.
3. So fulfillment, stock và thông điệp hỗ trợ.</x:v>
      </x:c>
      <x:c r="K202" s="30" t="n">
        <x:v>200</x:v>
      </x:c>
      <x:c r="L202" s="29" t="str">
        <x:v>Ghi nhận Paid muộn nhưng giữ Order Failed; yêu cầu hỗ trợ refund; không mở lại giao hàng/trừ stock lần hai.</x:v>
      </x:c>
      <x:c r="M202" s="30" t="str">
        <x:v>Not Run</x:v>
      </x:c>
      <x:c r="N202" s="29"/>
      <x:c r="O202" s="29"/>
      <x:c r="P202" s="31"/>
      <x:c r="Q202" s="29" t="str"/>
    </x:row>
    <x:row r="203" ht="48" hidden="0" customHeight="1">
      <x:c r="A203" s="32" t="str">
        <x:v>API-198</x:v>
      </x:c>
      <x:c r="B203" s="33" t="str">
        <x:v>Voucher</x:v>
      </x:c>
      <x:c r="C203" s="33" t="str">
        <x:v>Admin tạo voucher gán đúng user được chọn</x:v>
      </x:c>
      <x:c r="D203" s="34" t="str">
        <x:v>POST</x:v>
      </x:c>
      <x:c r="E203" s="33" t="str">
        <x:v>/api/vouchers</x:v>
      </x:c>
      <x:c r="F203" s="33" t="str">
        <x:v>Positive</x:v>
      </x:c>
      <x:c r="G203" s="34" t="str">
        <x:v>Critical</x:v>
      </x:c>
      <x:c r="H203" s="33" t="str">
        <x:v>Có JWT admin hợp lệ; dùng dữ liệu test riêng. Hai customer A/B active.</x:v>
      </x:c>
      <x:c r="I203" s="33" t="str">
        <x:v>{code:"QA50K",type:"fixed",value:50000,minOrder:200000,expiresAt:ngày tương lai,userIds:[A]}</x:v>
      </x:c>
      <x:c r="J203" s="33" t="str">
        <x:v>1. Chụp vouchers/count của A và B.
2. Tạo mã gán A.
3. Kiểm tra /mine và DB.</x:v>
      </x:c>
      <x:c r="K203" s="34" t="n">
        <x:v>201</x:v>
      </x:c>
      <x:c r="L203" s="33" t="str">
        <x:v>Chỉ A nhận voucher; voucherCount của A tăng đúng một; B không được cấp.</x:v>
      </x:c>
      <x:c r="M203" s="30" t="str">
        <x:v>Not Run</x:v>
      </x:c>
      <x:c r="N203" s="33"/>
      <x:c r="O203" s="33"/>
      <x:c r="P203" s="35"/>
      <x:c r="Q203" s="33" t="str">
        <x:v>Nguồn: docs/VOUCHERS.md; routes/voucherRoutes.js; services/voucherService.js.</x:v>
      </x:c>
    </x:row>
    <x:row r="204" ht="48" hidden="0" customHeight="1">
      <x:c r="A204" s="28" t="str">
        <x:v>API-199</x:v>
      </x:c>
      <x:c r="B204" s="29" t="str">
        <x:v>Voucher</x:v>
      </x:c>
      <x:c r="C204" s="29" t="str">
        <x:v>Customer không có quyền CRUD/status/recipient</x:v>
      </x:c>
      <x:c r="D204" s="30" t="str">
        <x:v>POST</x:v>
      </x:c>
      <x:c r="E204" s="29" t="str">
        <x:v>/api/vouchers</x:v>
      </x:c>
      <x:c r="F204" s="29" t="str">
        <x:v>Security</x:v>
      </x:c>
      <x:c r="G204" s="30" t="str">
        <x:v>Critical</x:v>
      </x:c>
      <x:c r="H204" s="29" t="str">
        <x:v>Có JWT customer active; dùng dữ liệu test riêng.</x:v>
      </x:c>
      <x:c r="I204" s="29" t="str">
        <x:v>Payload voucher hợp lệ; lặp GET list, GET recipients, PATCH status, DELETE.</x:v>
      </x:c>
      <x:c r="J204" s="29" t="str">
        <x:v>1. Gọi từng route quản trị bằng customer.
2. Kiểm tra HTTP và dữ liệu không thay đổi.</x:v>
      </x:c>
      <x:c r="K204" s="30" t="n">
        <x:v>403</x:v>
      </x:c>
      <x:c r="L204" s="29" t="str">
        <x:v>Mọi thao tác admin bị chặn; không tạo/xoá/cấp voucher.</x:v>
      </x:c>
      <x:c r="M204" s="30" t="str">
        <x:v>Not Run</x:v>
      </x:c>
      <x:c r="N204" s="29"/>
      <x:c r="O204" s="29"/>
      <x:c r="P204" s="31"/>
      <x:c r="Q204" s="29" t="str"/>
    </x:row>
    <x:row r="205" ht="48" hidden="0" customHeight="1">
      <x:c r="A205" s="32" t="str">
        <x:v>API-200</x:v>
      </x:c>
      <x:c r="B205" s="33" t="str">
        <x:v>Voucher</x:v>
      </x:c>
      <x:c r="C205" s="33" t="str">
        <x:v>Mã trùng không cấp voucher thứ hai</x:v>
      </x:c>
      <x:c r="D205" s="34" t="str">
        <x:v>POST</x:v>
      </x:c>
      <x:c r="E205" s="33" t="str">
        <x:v>/api/vouchers</x:v>
      </x:c>
      <x:c r="F205" s="33" t="str">
        <x:v>Validation</x:v>
      </x:c>
      <x:c r="G205" s="34" t="str">
        <x:v>High</x:v>
      </x:c>
      <x:c r="H205" s="33" t="str">
        <x:v>Có JWT admin hợp lệ; dùng dữ liệu test riêng. Mã QA50K đã tồn tại.</x:v>
      </x:c>
      <x:c r="I205" s="33" t="str">
        <x:v>code="qa50k"; userIds hợp lệ.</x:v>
      </x:c>
      <x:c r="J205" s="33" t="str">
        <x:v>1. Tạo mã lần đầu.
2. Tạo lại dạng khác hoa thường.
3. So số mã và sở hữu.</x:v>
      </x:c>
      <x:c r="K205" s="34" t="n">
        <x:v>409</x:v>
      </x:c>
      <x:c r="L205" s="33" t="str">
        <x:v>Mã được chuẩn hoá không phân biệt hoa thường; không tạo/cấp thêm.</x:v>
      </x:c>
      <x:c r="M205" s="30" t="str">
        <x:v>Not Run</x:v>
      </x:c>
      <x:c r="N205" s="33"/>
      <x:c r="O205" s="33"/>
      <x:c r="P205" s="35"/>
      <x:c r="Q205" s="33" t="str"/>
    </x:row>
    <x:row r="206" ht="48" hidden="0" customHeight="1">
      <x:c r="A206" s="28" t="str">
        <x:v>API-201</x:v>
      </x:c>
      <x:c r="B206" s="29" t="str">
        <x:v>Voucher</x:v>
      </x:c>
      <x:c r="C206" s="29" t="str">
        <x:v>Không tạo voucher thiếu hạn</x:v>
      </x:c>
      <x:c r="D206" s="30" t="str">
        <x:v>POST</x:v>
      </x:c>
      <x:c r="E206" s="29" t="str">
        <x:v>/api/vouchers</x:v>
      </x:c>
      <x:c r="F206" s="29" t="str">
        <x:v>Boundary</x:v>
      </x:c>
      <x:c r="G206" s="30" t="str">
        <x:v>High</x:v>
      </x:c>
      <x:c r="H206" s="29" t="str">
        <x:v>Có JWT admin hợp lệ; dùng dữ liệu test riêng.</x:v>
      </x:c>
      <x:c r="I206" s="29" t="str">
        <x:v>expiresAt=null; các trường còn lại hợp lệ.</x:v>
      </x:c>
      <x:c r="J206" s="29" t="str">
        <x:v>1. Gửi ngày không hợp lệ.
2. Kiểm tra HTTP/code.
3. So Voucher/User count.</x:v>
      </x:c>
      <x:c r="K206" s="30" t="n">
        <x:v>400</x:v>
      </x:c>
      <x:c r="L206" s="29" t="str">
        <x:v>Không tạo voucher/không thay sở hữu; yêu cầu thời gian tương lai và sau startsAt.</x:v>
      </x:c>
      <x:c r="M206" s="30" t="str">
        <x:v>Not Run</x:v>
      </x:c>
      <x:c r="N206" s="29"/>
      <x:c r="O206" s="29"/>
      <x:c r="P206" s="31"/>
      <x:c r="Q206" s="29" t="str"/>
    </x:row>
    <x:row r="207" ht="48" hidden="0" customHeight="1">
      <x:c r="A207" s="32" t="str">
        <x:v>API-202</x:v>
      </x:c>
      <x:c r="B207" s="33" t="str">
        <x:v>Voucher</x:v>
      </x:c>
      <x:c r="C207" s="33" t="str">
        <x:v>Không tạo voucher đã hết hạn</x:v>
      </x:c>
      <x:c r="D207" s="34" t="str">
        <x:v>POST</x:v>
      </x:c>
      <x:c r="E207" s="33" t="str">
        <x:v>/api/vouchers</x:v>
      </x:c>
      <x:c r="F207" s="33" t="str">
        <x:v>Boundary</x:v>
      </x:c>
      <x:c r="G207" s="34" t="str">
        <x:v>High</x:v>
      </x:c>
      <x:c r="H207" s="33" t="str">
        <x:v>Có JWT admin hợp lệ; dùng dữ liệu test riêng.</x:v>
      </x:c>
      <x:c r="I207" s="33" t="str">
        <x:v>expiresAt=quá khứ; các trường còn lại hợp lệ.</x:v>
      </x:c>
      <x:c r="J207" s="33" t="str">
        <x:v>1. Gửi ngày không hợp lệ.
2. Kiểm tra HTTP/code.
3. So Voucher/User count.</x:v>
      </x:c>
      <x:c r="K207" s="34" t="n">
        <x:v>400</x:v>
      </x:c>
      <x:c r="L207" s="33" t="str">
        <x:v>Không tạo voucher/không thay sở hữu; yêu cầu thời gian tương lai và sau startsAt.</x:v>
      </x:c>
      <x:c r="M207" s="30" t="str">
        <x:v>Not Run</x:v>
      </x:c>
      <x:c r="N207" s="33"/>
      <x:c r="O207" s="33"/>
      <x:c r="P207" s="35"/>
      <x:c r="Q207" s="33" t="str"/>
    </x:row>
    <x:row r="208" ht="48" hidden="0" customHeight="1">
      <x:c r="A208" s="28" t="str">
        <x:v>API-203</x:v>
      </x:c>
      <x:c r="B208" s="29" t="str">
        <x:v>Voucher</x:v>
      </x:c>
      <x:c r="C208" s="29" t="str">
        <x:v>Không tạo voucher hạn trước ngày bắt đầu</x:v>
      </x:c>
      <x:c r="D208" s="30" t="str">
        <x:v>POST</x:v>
      </x:c>
      <x:c r="E208" s="29" t="str">
        <x:v>/api/vouchers</x:v>
      </x:c>
      <x:c r="F208" s="29" t="str">
        <x:v>Boundary</x:v>
      </x:c>
      <x:c r="G208" s="30" t="str">
        <x:v>High</x:v>
      </x:c>
      <x:c r="H208" s="29" t="str">
        <x:v>Có JWT admin hợp lệ; dùng dữ liệu test riêng.</x:v>
      </x:c>
      <x:c r="I208" s="29" t="str">
        <x:v>expiresAt=trước startsAt; các trường còn lại hợp lệ.</x:v>
      </x:c>
      <x:c r="J208" s="29" t="str">
        <x:v>1. Gửi ngày không hợp lệ.
2. Kiểm tra HTTP/code.
3. So Voucher/User count.</x:v>
      </x:c>
      <x:c r="K208" s="30" t="n">
        <x:v>400</x:v>
      </x:c>
      <x:c r="L208" s="29" t="str">
        <x:v>Không tạo voucher/không thay sở hữu; yêu cầu thời gian tương lai và sau startsAt.</x:v>
      </x:c>
      <x:c r="M208" s="30" t="str">
        <x:v>Not Run</x:v>
      </x:c>
      <x:c r="N208" s="29"/>
      <x:c r="O208" s="29"/>
      <x:c r="P208" s="31"/>
      <x:c r="Q208" s="29" t="str"/>
    </x:row>
    <x:row r="209" ht="48" hidden="0" customHeight="1">
      <x:c r="A209" s="32" t="str">
        <x:v>API-204</x:v>
      </x:c>
      <x:c r="B209" s="33" t="str">
        <x:v>Voucher</x:v>
      </x:c>
      <x:c r="C209" s="33" t="str">
        <x:v>Không gán user không tồn tại hoặc đã khoá</x:v>
      </x:c>
      <x:c r="D209" s="34" t="str">
        <x:v>POST</x:v>
      </x:c>
      <x:c r="E209" s="33" t="str">
        <x:v>/api/vouchers</x:v>
      </x:c>
      <x:c r="F209" s="33" t="str">
        <x:v>Validation</x:v>
      </x:c>
      <x:c r="G209" s="34" t="str">
        <x:v>High</x:v>
      </x:c>
      <x:c r="H209" s="33" t="str">
        <x:v>Có JWT admin hợp lệ; dùng dữ liệu test riêng.</x:v>
      </x:c>
      <x:c r="I209" s="33" t="str">
        <x:v>userIds gồm ID không tồn tại hoặc isActive=false.</x:v>
      </x:c>
      <x:c r="J209" s="33" t="str">
        <x:v>1. Seed recipient không hợp lệ.
2. Tạo voucher.
3. Kiểm tra rollback sở hữu.</x:v>
      </x:c>
      <x:c r="K209" s="34" t="n">
        <x:v>400</x:v>
      </x:c>
      <x:c r="L209" s="33" t="str">
        <x:v>Không tạo voucher gán một phần; không tăng count người nhận.</x:v>
      </x:c>
      <x:c r="M209" s="30" t="str">
        <x:v>Not Run</x:v>
      </x:c>
      <x:c r="N209" s="33"/>
      <x:c r="O209" s="33"/>
      <x:c r="P209" s="35"/>
      <x:c r="Q209" s="33" t="str"/>
    </x:row>
    <x:row r="210" ht="48" hidden="0" customHeight="1">
      <x:c r="A210" s="28" t="str">
        <x:v>API-205</x:v>
      </x:c>
      <x:c r="B210" s="29" t="str">
        <x:v>Voucher</x:v>
      </x:c>
      <x:c r="C210" s="29" t="str">
        <x:v>Voucher tự cấp cho tài khoản tương lai không cần chọn user hiện tại</x:v>
      </x:c>
      <x:c r="D210" s="30" t="str">
        <x:v>POST</x:v>
      </x:c>
      <x:c r="E210" s="29" t="str">
        <x:v>/api/vouchers</x:v>
      </x:c>
      <x:c r="F210" s="29" t="str">
        <x:v>Business Rule</x:v>
      </x:c>
      <x:c r="G210" s="30" t="str">
        <x:v>High</x:v>
      </x:c>
      <x:c r="H210" s="29" t="str">
        <x:v>Có JWT admin hợp lệ; dùng dữ liệu test riêng.</x:v>
      </x:c>
      <x:c r="I210" s="29" t="str">
        <x:v>autoAssignOnRegister=true; userIds=[]; expiresAt hợp lệ.</x:v>
      </x:c>
      <x:c r="J210" s="29" t="str">
        <x:v>1. Chụp sở hữu user cũ.
2. Tạo auto campaign.
3. Đăng ký user mới và so hai nhóm.</x:v>
      </x:c>
      <x:c r="K210" s="30" t="n">
        <x:v>201</x:v>
      </x:c>
      <x:c r="L210" s="29" t="str">
        <x:v>Tạo chiến dịch; không tự gán toàn bộ user hiện có; user đăng ký sau nhận theo điều kiện hiệu lực.</x:v>
      </x:c>
      <x:c r="M210" s="30" t="str">
        <x:v>Not Run</x:v>
      </x:c>
      <x:c r="N210" s="29"/>
      <x:c r="O210" s="29"/>
      <x:c r="P210" s="31"/>
      <x:c r="Q210" s="29" t="str"/>
    </x:row>
    <x:row r="211" ht="48" hidden="0" customHeight="1">
      <x:c r="A211" s="32" t="str">
        <x:v>API-206</x:v>
      </x:c>
      <x:c r="B211" s="33" t="str">
        <x:v>Voucher</x:v>
      </x:c>
      <x:c r="C211" s="33" t="str">
        <x:v>Mine chỉ trả mã sở hữu và voucherCount đúng</x:v>
      </x:c>
      <x:c r="D211" s="34" t="str">
        <x:v>GET</x:v>
      </x:c>
      <x:c r="E211" s="33" t="str">
        <x:v>/api/vouchers/mine</x:v>
      </x:c>
      <x:c r="F211" s="33" t="str">
        <x:v>Security</x:v>
      </x:c>
      <x:c r="G211" s="34" t="str">
        <x:v>High</x:v>
      </x:c>
      <x:c r="H211" s="33" t="str">
        <x:v>Có JWT customer active; dùng dữ liệu test riêng. A sở hữu 2 mã, B có mã khác.</x:v>
      </x:c>
      <x:c r="I211" s="33" t="str">
        <x:v>JWT A.</x:v>
      </x:c>
      <x:c r="J211" s="33" t="str">
        <x:v>1. GET mine bằng A.
2. So với User.vouchers và các mã B.</x:v>
      </x:c>
      <x:c r="K211" s="34" t="n">
        <x:v>200</x:v>
      </x:c>
      <x:c r="L211" s="33" t="str">
        <x:v>Chỉ trả voucher của A chưa bị xoá và count đúng mảng sở hữu; không lộ mã riêng của B.</x:v>
      </x:c>
      <x:c r="M211" s="30" t="str">
        <x:v>Not Run</x:v>
      </x:c>
      <x:c r="N211" s="33"/>
      <x:c r="O211" s="33"/>
      <x:c r="P211" s="35"/>
      <x:c r="Q211" s="33" t="str"/>
    </x:row>
    <x:row r="212" ht="48" hidden="0" customHeight="1">
      <x:c r="A212" s="28" t="str">
        <x:v>API-207</x:v>
      </x:c>
      <x:c r="B212" s="29" t="str">
        <x:v>Voucher</x:v>
      </x:c>
      <x:c r="C212" s="29" t="str">
        <x:v>Tìm user nhận voucher trả trường an toàn</x:v>
      </x:c>
      <x:c r="D212" s="30" t="str">
        <x:v>GET</x:v>
      </x:c>
      <x:c r="E212" s="29" t="str">
        <x:v>/api/vouchers/recipients?q=qa</x:v>
      </x:c>
      <x:c r="F212" s="29" t="str">
        <x:v>Security</x:v>
      </x:c>
      <x:c r="G212" s="30" t="str">
        <x:v>High</x:v>
      </x:c>
      <x:c r="H212" s="29" t="str">
        <x:v>Có JWT admin hợp lệ; dùng dữ liệu test riêng. Có user active/inactive.</x:v>
      </x:c>
      <x:c r="I212" s="29" t="str">
        <x:v>q=qa và q chứa ký tự regex.</x:v>
      </x:c>
      <x:c r="J212" s="29" t="str">
        <x:v>1. Gọi tìm recipient.
2. Kiểm tra trường và trạng thái user.
3. Thử query literal có ký tự regex.</x:v>
      </x:c>
      <x:c r="K212" s="30" t="n">
        <x:v>200</x:v>
      </x:c>
      <x:c r="L212" s="29" t="str">
        <x:v>Chỉ user active phù hợp; có ID, thông tin hiển thị/count; không có password/OTP/resetToken.</x:v>
      </x:c>
      <x:c r="M212" s="30" t="str">
        <x:v>Not Run</x:v>
      </x:c>
      <x:c r="N212" s="29"/>
      <x:c r="O212" s="29"/>
      <x:c r="P212" s="31"/>
      <x:c r="Q212" s="29" t="str"/>
    </x:row>
    <x:row r="213" ht="54" hidden="0" customHeight="1">
      <x:c r="A213" s="32" t="str">
        <x:v>API-208</x:v>
      </x:c>
      <x:c r="B213" s="33" t="str">
        <x:v>Voucher</x:v>
      </x:c>
      <x:c r="C213" s="33" t="str">
        <x:v>WELCOME50K tại đúng ngưỡng 200.000đ</x:v>
      </x:c>
      <x:c r="D213" s="34" t="str">
        <x:v>POST</x:v>
      </x:c>
      <x:c r="E213" s="33" t="str">
        <x:v>/api/vouchers/validate</x:v>
      </x:c>
      <x:c r="F213" s="33" t="str">
        <x:v>Boundary</x:v>
      </x:c>
      <x:c r="G213" s="34" t="str">
        <x:v>High</x:v>
      </x:c>
      <x:c r="H213" s="33" t="str">
        <x:v>Có JWT customer active; dùng dữ liệu test riêng. Sở hữu WELCOME50K còn hạn.</x:v>
      </x:c>
      <x:c r="I213" s="33" t="str">
        <x:v>{code:"WELCOME50K",subtotal:200000}</x:v>
      </x:c>
      <x:c r="J213" s="33" t="str">
        <x:v>1. Chụp usage.
2. Validate tại minOrder.
3. So discount=50000 và usage giữ nguyên.</x:v>
      </x:c>
      <x:c r="K213" s="34" t="n">
        <x:v>200</x:v>
      </x:c>
      <x:c r="L213" s="33" t="str">
        <x:v>Giảm đúng 50.000đ tiền sản phẩm; preview không tiêu thụ usage.</x:v>
      </x:c>
      <x:c r="M213" s="30" t="str">
        <x:v>Not Run</x:v>
      </x:c>
      <x:c r="N213" s="33"/>
      <x:c r="O213" s="33"/>
      <x:c r="P213" s="35"/>
      <x:c r="Q213" s="33" t="str"/>
    </x:row>
    <x:row r="214" ht="48" hidden="0" customHeight="1">
      <x:c r="A214" s="28" t="str">
        <x:v>API-209</x:v>
      </x:c>
      <x:c r="B214" s="29" t="str">
        <x:v>Voucher</x:v>
      </x:c>
      <x:c r="C214" s="29" t="str">
        <x:v>WELCOME50K dưới ngưỡng một đồng</x:v>
      </x:c>
      <x:c r="D214" s="30" t="str">
        <x:v>POST</x:v>
      </x:c>
      <x:c r="E214" s="29" t="str">
        <x:v>/api/vouchers/validate</x:v>
      </x:c>
      <x:c r="F214" s="29" t="str">
        <x:v>Boundary</x:v>
      </x:c>
      <x:c r="G214" s="30" t="str">
        <x:v>High</x:v>
      </x:c>
      <x:c r="H214" s="29" t="str">
        <x:v>Có JWT customer active; dùng dữ liệu test riêng. Sở hữu mã hợp lệ.</x:v>
      </x:c>
      <x:c r="I214" s="29" t="str">
        <x:v>{code:"WELCOME50K",subtotal:199999}</x:v>
      </x:c>
      <x:c r="J214" s="29" t="str">
        <x:v>1. Validate subtotal=199999.
2. Kiểm tra lỗi và usage không đổi.</x:v>
      </x:c>
      <x:c r="K214" s="30" t="n">
        <x:v>400</x:v>
      </x:c>
      <x:c r="L214" s="29" t="str">
        <x:v>Không được giảm; trả lỗi chưa đạt giá trị tối thiểu.</x:v>
      </x:c>
      <x:c r="M214" s="30" t="str">
        <x:v>Not Run</x:v>
      </x:c>
      <x:c r="N214" s="29"/>
      <x:c r="O214" s="29"/>
      <x:c r="P214" s="31"/>
      <x:c r="Q214" s="29" t="str"/>
    </x:row>
    <x:row r="215" ht="54" hidden="0" customHeight="1">
      <x:c r="A215" s="32" t="str">
        <x:v>API-210</x:v>
      </x:c>
      <x:c r="B215" s="33" t="str">
        <x:v>Voucher</x:v>
      </x:c>
      <x:c r="C215" s="33" t="str">
        <x:v>Phần trăm có trần và không giảm phí giao</x:v>
      </x:c>
      <x:c r="D215" s="34" t="str">
        <x:v>POST</x:v>
      </x:c>
      <x:c r="E215" s="33" t="str">
        <x:v>/api/vouchers/validate</x:v>
      </x:c>
      <x:c r="F215" s="33" t="str">
        <x:v>Business Rule</x:v>
      </x:c>
      <x:c r="G215" s="34" t="str">
        <x:v>Critical</x:v>
      </x:c>
      <x:c r="H215" s="33" t="str">
        <x:v>Có JWT customer active; dùng dữ liệu test riêng. Mã sở hữu 20%, maxDiscount=20000.</x:v>
      </x:c>
      <x:c r="I215" s="33" t="str">
        <x:v>{code:"QA20",subtotal:200000}</x:v>
      </x:c>
      <x:c r="J215" s="33" t="str">
        <x:v>1. Validate mã.
2. Tạo đơn test có phí giao.
3. So total=subtotal-discount+shippingFee.</x:v>
      </x:c>
      <x:c r="K215" s="34" t="n">
        <x:v>200</x:v>
      </x:c>
      <x:c r="L215" s="33" t="str">
        <x:v>Discount=20.000đ thay vì 40.000đ; khi tạo đơn, phí giao cộng đủ vào total.</x:v>
      </x:c>
      <x:c r="M215" s="30" t="str">
        <x:v>Not Run</x:v>
      </x:c>
      <x:c r="N215" s="33"/>
      <x:c r="O215" s="33"/>
      <x:c r="P215" s="35"/>
      <x:c r="Q215" s="33" t="str"/>
    </x:row>
    <x:row r="216" ht="48" hidden="0" customHeight="1">
      <x:c r="A216" s="28" t="str">
        <x:v>API-211</x:v>
      </x:c>
      <x:c r="B216" s="29" t="str">
        <x:v>Voucher</x:v>
      </x:c>
      <x:c r="C216" s="29" t="str">
        <x:v>Mã 100% không làm phí giao bằng 0</x:v>
      </x:c>
      <x:c r="D216" s="30" t="str">
        <x:v>POST</x:v>
      </x:c>
      <x:c r="E216" s="29" t="str">
        <x:v>/api/orders</x:v>
      </x:c>
      <x:c r="F216" s="29" t="str">
        <x:v>Business Rule</x:v>
      </x:c>
      <x:c r="G216" s="30" t="str">
        <x:v>Critical</x:v>
      </x:c>
      <x:c r="H216" s="29" t="str">
        <x:v>Có JWT customer active; dùng dữ liệu test riêng. Có mã sở hữu 100% còn hạn và quote phí F&gt;0.</x:v>
      </x:c>
      <x:c r="I216" s="29" t="str">
        <x:v>voucherCode; shippingQuoteId; paymentMethod=COD.</x:v>
      </x:c>
      <x:c r="J216" s="29" t="str">
        <x:v>1. Tạo đơn COD test có mã 100%.
2. So subtotal, discount, fee và total.</x:v>
      </x:c>
      <x:c r="K216" s="30" t="n">
        <x:v>201</x:v>
      </x:c>
      <x:c r="L216" s="29" t="str">
        <x:v>Tiền hàng giảm về 0; total vẫn bằng F; delivery fee không bị giảm.</x:v>
      </x:c>
      <x:c r="M216" s="30" t="str">
        <x:v>Not Run</x:v>
      </x:c>
      <x:c r="N216" s="29"/>
      <x:c r="O216" s="29"/>
      <x:c r="P216" s="31"/>
      <x:c r="Q216" s="29" t="str"/>
    </x:row>
    <x:row r="217" ht="48" hidden="0" customHeight="1">
      <x:c r="A217" s="32" t="str">
        <x:v>API-212</x:v>
      </x:c>
      <x:c r="B217" s="33" t="str">
        <x:v>Voucher</x:v>
      </x:c>
      <x:c r="C217" s="33" t="str">
        <x:v>Biết mã nhưng không sở hữu vẫn bị từ chối</x:v>
      </x:c>
      <x:c r="D217" s="34" t="str">
        <x:v>POST</x:v>
      </x:c>
      <x:c r="E217" s="33" t="str">
        <x:v>/api/vouchers/validate</x:v>
      </x:c>
      <x:c r="F217" s="33" t="str">
        <x:v>Security</x:v>
      </x:c>
      <x:c r="G217" s="34" t="str">
        <x:v>Critical</x:v>
      </x:c>
      <x:c r="H217" s="33" t="str">
        <x:v>Mã chỉ gán A; dùng JWT B.</x:v>
      </x:c>
      <x:c r="I217" s="33" t="str">
        <x:v>{code:mãA,subtotal:300000,userIds:[B]}</x:v>
      </x:c>
      <x:c r="J217" s="33" t="str">
        <x:v>1. Gửi bằng B kèm ownership giả.
2. Kiểm tra lỗi và DB.</x:v>
      </x:c>
      <x:c r="K217" s="34" t="n">
        <x:v>400</x:v>
      </x:c>
      <x:c r="L217" s="33" t="str">
        <x:v>Không dùng được bằng cách đoán mã hoặc giả userIds; không thay ownership/usage.</x:v>
      </x:c>
      <x:c r="M217" s="30" t="str">
        <x:v>Not Run</x:v>
      </x:c>
      <x:c r="N217" s="33"/>
      <x:c r="O217" s="33"/>
      <x:c r="P217" s="35"/>
      <x:c r="Q217" s="33" t="str"/>
    </x:row>
    <x:row r="218" ht="54" hidden="0" customHeight="1">
      <x:c r="A218" s="28" t="str">
        <x:v>API-213</x:v>
      </x:c>
      <x:c r="B218" s="29" t="str">
        <x:v>Voucher</x:v>
      </x:c>
      <x:c r="C218" s="29" t="str">
        <x:v>Không áp dụng mã hết hạn</x:v>
      </x:c>
      <x:c r="D218" s="30" t="str">
        <x:v>POST</x:v>
      </x:c>
      <x:c r="E218" s="29" t="str">
        <x:v>/api/vouchers/validate</x:v>
      </x:c>
      <x:c r="F218" s="29" t="str">
        <x:v>Business Rule</x:v>
      </x:c>
      <x:c r="G218" s="30" t="str">
        <x:v>High</x:v>
      </x:c>
      <x:c r="H218" s="29" t="str">
        <x:v>Có JWT customer active; dùng dữ liệu test riêng. Sở hữu mã hết hạn.</x:v>
      </x:c>
      <x:c r="I218" s="29" t="str">
        <x:v>{code,subtotal:300000}</x:v>
      </x:c>
      <x:c r="J218" s="29" t="str">
        <x:v>1. Chuẩn bị trạng thái mã.
2. Validate.
3. Thử tạo đơn cùng mã và so stock/usage.</x:v>
      </x:c>
      <x:c r="K218" s="30" t="n">
        <x:v>400</x:v>
      </x:c>
      <x:c r="L218" s="29" t="str">
        <x:v>Preview bị từ chối; không trả discount hợp lệ; tạo order cũng phải kiểm tra lại điều kiện này.</x:v>
      </x:c>
      <x:c r="M218" s="30" t="str">
        <x:v>Not Run</x:v>
      </x:c>
      <x:c r="N218" s="29"/>
      <x:c r="O218" s="29"/>
      <x:c r="P218" s="31"/>
      <x:c r="Q218" s="29" t="str"/>
    </x:row>
    <x:row r="219" ht="54" hidden="0" customHeight="1">
      <x:c r="A219" s="32" t="str">
        <x:v>API-214</x:v>
      </x:c>
      <x:c r="B219" s="33" t="str">
        <x:v>Voucher</x:v>
      </x:c>
      <x:c r="C219" s="33" t="str">
        <x:v>Không áp dụng mã bị tắt</x:v>
      </x:c>
      <x:c r="D219" s="34" t="str">
        <x:v>POST</x:v>
      </x:c>
      <x:c r="E219" s="33" t="str">
        <x:v>/api/vouchers/validate</x:v>
      </x:c>
      <x:c r="F219" s="33" t="str">
        <x:v>Business Rule</x:v>
      </x:c>
      <x:c r="G219" s="34" t="str">
        <x:v>High</x:v>
      </x:c>
      <x:c r="H219" s="33" t="str">
        <x:v>Có JWT customer active; dùng dữ liệu test riêng. Sở hữu mã bị tắt.</x:v>
      </x:c>
      <x:c r="I219" s="33" t="str">
        <x:v>{code,subtotal:300000}</x:v>
      </x:c>
      <x:c r="J219" s="33" t="str">
        <x:v>1. Chuẩn bị trạng thái mã.
2. Validate.
3. Thử tạo đơn cùng mã và so stock/usage.</x:v>
      </x:c>
      <x:c r="K219" s="34" t="n">
        <x:v>400</x:v>
      </x:c>
      <x:c r="L219" s="33" t="str">
        <x:v>Preview bị từ chối; không trả discount hợp lệ; tạo order cũng phải kiểm tra lại điều kiện này.</x:v>
      </x:c>
      <x:c r="M219" s="30" t="str">
        <x:v>Not Run</x:v>
      </x:c>
      <x:c r="N219" s="33"/>
      <x:c r="O219" s="33"/>
      <x:c r="P219" s="35"/>
      <x:c r="Q219" s="33" t="str"/>
    </x:row>
    <x:row r="220" ht="54" hidden="0" customHeight="1">
      <x:c r="A220" s="28" t="str">
        <x:v>API-215</x:v>
      </x:c>
      <x:c r="B220" s="29" t="str">
        <x:v>Voucher</x:v>
      </x:c>
      <x:c r="C220" s="29" t="str">
        <x:v>Không áp dụng mã chưa đến ngày dùng</x:v>
      </x:c>
      <x:c r="D220" s="30" t="str">
        <x:v>POST</x:v>
      </x:c>
      <x:c r="E220" s="29" t="str">
        <x:v>/api/vouchers/validate</x:v>
      </x:c>
      <x:c r="F220" s="29" t="str">
        <x:v>Business Rule</x:v>
      </x:c>
      <x:c r="G220" s="30" t="str">
        <x:v>High</x:v>
      </x:c>
      <x:c r="H220" s="29" t="str">
        <x:v>Có JWT customer active; dùng dữ liệu test riêng. Sở hữu mã chưa đến ngày dùng.</x:v>
      </x:c>
      <x:c r="I220" s="29" t="str">
        <x:v>{code,subtotal:300000}</x:v>
      </x:c>
      <x:c r="J220" s="29" t="str">
        <x:v>1. Chuẩn bị trạng thái mã.
2. Validate.
3. Thử tạo đơn cùng mã và so stock/usage.</x:v>
      </x:c>
      <x:c r="K220" s="30" t="n">
        <x:v>400</x:v>
      </x:c>
      <x:c r="L220" s="29" t="str">
        <x:v>Preview bị từ chối; không trả discount hợp lệ; tạo order cũng phải kiểm tra lại điều kiện này.</x:v>
      </x:c>
      <x:c r="M220" s="30" t="str">
        <x:v>Not Run</x:v>
      </x:c>
      <x:c r="N220" s="29"/>
      <x:c r="O220" s="29"/>
      <x:c r="P220" s="31"/>
      <x:c r="Q220" s="29" t="str"/>
    </x:row>
    <x:row r="221" ht="54" hidden="0" customHeight="1">
      <x:c r="A221" s="32" t="str">
        <x:v>API-216</x:v>
      </x:c>
      <x:c r="B221" s="33" t="str">
        <x:v>Voucher</x:v>
      </x:c>
      <x:c r="C221" s="33" t="str">
        <x:v>Không áp dụng mã hết lượt</x:v>
      </x:c>
      <x:c r="D221" s="34" t="str">
        <x:v>POST</x:v>
      </x:c>
      <x:c r="E221" s="33" t="str">
        <x:v>/api/vouchers/validate</x:v>
      </x:c>
      <x:c r="F221" s="33" t="str">
        <x:v>Business Rule</x:v>
      </x:c>
      <x:c r="G221" s="34" t="str">
        <x:v>High</x:v>
      </x:c>
      <x:c r="H221" s="33" t="str">
        <x:v>Có JWT customer active; dùng dữ liệu test riêng. Sở hữu mã hết lượt.</x:v>
      </x:c>
      <x:c r="I221" s="33" t="str">
        <x:v>{code,subtotal:300000}</x:v>
      </x:c>
      <x:c r="J221" s="33" t="str">
        <x:v>1. Chuẩn bị trạng thái mã.
2. Validate.
3. Thử tạo đơn cùng mã và so stock/usage.</x:v>
      </x:c>
      <x:c r="K221" s="34" t="n">
        <x:v>400</x:v>
      </x:c>
      <x:c r="L221" s="33" t="str">
        <x:v>Preview bị từ chối; không trả discount hợp lệ; tạo order cũng phải kiểm tra lại điều kiện này.</x:v>
      </x:c>
      <x:c r="M221" s="30" t="str">
        <x:v>Not Run</x:v>
      </x:c>
      <x:c r="N221" s="33"/>
      <x:c r="O221" s="33"/>
      <x:c r="P221" s="35"/>
      <x:c r="Q221" s="33" t="str"/>
    </x:row>
    <x:row r="222" ht="48" hidden="0" customHeight="1">
      <x:c r="A222" s="28" t="str">
        <x:v>API-217</x:v>
      </x:c>
      <x:c r="B222" s="29" t="str">
        <x:v>Voucher</x:v>
      </x:c>
      <x:c r="C222" s="29" t="str">
        <x:v>Bật/tắt status không sửa nội dung mã</x:v>
      </x:c>
      <x:c r="D222" s="30" t="str">
        <x:v>PATCH</x:v>
      </x:c>
      <x:c r="E222" s="29" t="str">
        <x:v>/api/vouchers/:id/status</x:v>
      </x:c>
      <x:c r="F222" s="29" t="str">
        <x:v>Positive</x:v>
      </x:c>
      <x:c r="G222" s="30" t="str">
        <x:v>High</x:v>
      </x:c>
      <x:c r="H222" s="29" t="str">
        <x:v>Có JWT admin hợp lệ; dùng dữ liệu test riêng. Mã còn hạn, còn lượt.</x:v>
      </x:c>
      <x:c r="I222" s="29" t="str">
        <x:v>{active:false}, sau đó {active:true}.</x:v>
      </x:c>
      <x:c r="J222" s="29" t="str">
        <x:v>1. Chụp cấu hình mã.
2. Tắt/bật/lặp lại.
3. So các trường khác.</x:v>
      </x:c>
      <x:c r="K222" s="30" t="n">
        <x:v>200</x:v>
      </x:c>
      <x:c r="L222" s="29" t="str">
        <x:v>Chỉ đổi active; giá trị giảm, hạn dùng, sở hữu và usage giữ nguyên; lặp request an toàn.</x:v>
      </x:c>
      <x:c r="M222" s="30" t="str">
        <x:v>Not Run</x:v>
      </x:c>
      <x:c r="N222" s="29"/>
      <x:c r="O222" s="29"/>
      <x:c r="P222" s="31"/>
      <x:c r="Q222" s="29" t="str"/>
    </x:row>
    <x:row r="223" ht="48" hidden="0" customHeight="1">
      <x:c r="A223" s="32" t="str">
        <x:v>API-218</x:v>
      </x:c>
      <x:c r="B223" s="33" t="str">
        <x:v>Voucher</x:v>
      </x:c>
      <x:c r="C223" s="33" t="str">
        <x:v>Không dùng status endpoint để sửa giá/hạn/ownership</x:v>
      </x:c>
      <x:c r="D223" s="34" t="str">
        <x:v>PATCH</x:v>
      </x:c>
      <x:c r="E223" s="33" t="str">
        <x:v>/api/vouchers/:id/status</x:v>
      </x:c>
      <x:c r="F223" s="33" t="str">
        <x:v>Security</x:v>
      </x:c>
      <x:c r="G223" s="34" t="str">
        <x:v>Critical</x:v>
      </x:c>
      <x:c r="H223" s="33" t="str">
        <x:v>Có JWT admin hợp lệ; dùng dữ liệu test riêng.</x:v>
      </x:c>
      <x:c r="I223" s="33" t="str">
        <x:v>{active:true,value:999999,expiresAt:ngày khác,userIds:[B]}</x:v>
      </x:c>
      <x:c r="J223" s="33" t="str">
        <x:v>1. Gửi payload giả mạo trường.
2. Đọc lại voucher và User.vouchers.</x:v>
      </x:c>
      <x:c r="K223" s="34" t="n">
        <x:v>400</x:v>
      </x:c>
      <x:c r="L223" s="33" t="str">
        <x:v>Từ chối payload ngoài whitelist; không biến status thành API sửa voucher tổng quát.</x:v>
      </x:c>
      <x:c r="M223" s="30" t="str">
        <x:v>Not Run</x:v>
      </x:c>
      <x:c r="N223" s="33"/>
      <x:c r="O223" s="33"/>
      <x:c r="P223" s="35"/>
      <x:c r="Q223" s="33" t="str"/>
    </x:row>
    <x:row r="224" ht="48" hidden="0" customHeight="1">
      <x:c r="A224" s="28" t="str">
        <x:v>API-219</x:v>
      </x:c>
      <x:c r="B224" s="29" t="str">
        <x:v>Voucher</x:v>
      </x:c>
      <x:c r="C224" s="29" t="str">
        <x:v>Không enable mã hết hạn/hết lượt/thiếu hạn</x:v>
      </x:c>
      <x:c r="D224" s="30" t="str">
        <x:v>PATCH</x:v>
      </x:c>
      <x:c r="E224" s="29" t="str">
        <x:v>/api/vouchers/:id/status</x:v>
      </x:c>
      <x:c r="F224" s="29" t="str">
        <x:v>Boundary</x:v>
      </x:c>
      <x:c r="G224" s="30" t="str">
        <x:v>High</x:v>
      </x:c>
      <x:c r="H224" s="29" t="str">
        <x:v>Có JWT admin hợp lệ; dùng dữ liệu test riêng. Mã inactive ở trạng thái không dùng được.</x:v>
      </x:c>
      <x:c r="I224" s="29" t="str">
        <x:v>{active:true}</x:v>
      </x:c>
      <x:c r="J224" s="29" t="str">
        <x:v>1. Thử từng trạng thái fixture.
2. So active, expiry và usage trước/sau.</x:v>
      </x:c>
      <x:c r="K224" s="30" t="str">
        <x:v>4xx</x:v>
      </x:c>
      <x:c r="L224" s="29" t="str">
        <x:v>Từ chối enable; không tự kéo dài hạn hoặc reset usage.</x:v>
      </x:c>
      <x:c r="M224" s="30" t="str">
        <x:v>Not Run</x:v>
      </x:c>
      <x:c r="N224" s="29"/>
      <x:c r="O224" s="29"/>
      <x:c r="P224" s="31"/>
      <x:c r="Q224" s="29" t="str"/>
    </x:row>
    <x:row r="225" ht="48" hidden="0" customHeight="1">
      <x:c r="A225" s="32" t="str">
        <x:v>API-220</x:v>
      </x:c>
      <x:c r="B225" s="33" t="str">
        <x:v>Voucher</x:v>
      </x:c>
      <x:c r="C225" s="33" t="str">
        <x:v>Xoá voucher thu hồi sở hữu nhưng giữ snapshot order</x:v>
      </x:c>
      <x:c r="D225" s="34" t="str">
        <x:v>DELETE</x:v>
      </x:c>
      <x:c r="E225" s="33" t="str">
        <x:v>/api/vouchers/:id</x:v>
      </x:c>
      <x:c r="F225" s="33" t="str">
        <x:v>Business Rule</x:v>
      </x:c>
      <x:c r="G225" s="34" t="str">
        <x:v>Critical</x:v>
      </x:c>
      <x:c r="H225" s="33" t="str">
        <x:v>Có JWT admin hợp lệ; dùng dữ liệu test riêng. Mã đã cấp A và dùng cho một đơn đã lưu.</x:v>
      </x:c>
      <x:c r="I225" s="33" t="str">
        <x:v>voucherId hợp lệ.</x:v>
      </x:c>
      <x:c r="J225" s="33" t="str">
        <x:v>1. Chụp order và sở hữu.
2. DELETE mã.
3. So user, voucher và order snapshot.</x:v>
      </x:c>
      <x:c r="K225" s="34" t="n">
        <x:v>200</x:v>
      </x:c>
      <x:c r="L225" s="33" t="str">
        <x:v>Mã được archive; bỏ khỏi vouchers/count của user; giá/discount/total của order cũ không đổi.</x:v>
      </x:c>
      <x:c r="M225" s="30" t="str">
        <x:v>Not Run</x:v>
      </x:c>
      <x:c r="N225" s="33"/>
      <x:c r="O225" s="33"/>
      <x:c r="P225" s="35"/>
      <x:c r="Q225" s="33" t="str"/>
    </x:row>
    <x:row r="226" ht="48" hidden="0" customHeight="1">
      <x:c r="A226" s="28" t="str">
        <x:v>API-221</x:v>
      </x:c>
      <x:c r="B226" s="29" t="str">
        <x:v>Voucher</x:v>
      </x:c>
      <x:c r="C226" s="29" t="str">
        <x:v>Đua đơn dùng lượt voucher cuối</x:v>
      </x:c>
      <x:c r="D226" s="30" t="str">
        <x:v>POST</x:v>
      </x:c>
      <x:c r="E226" s="29" t="str">
        <x:v>/api/orders</x:v>
      </x:c>
      <x:c r="F226" s="29" t="str">
        <x:v>Concurrency</x:v>
      </x:c>
      <x:c r="G226" s="30" t="str">
        <x:v>Critical</x:v>
      </x:c>
      <x:c r="H226" s="29" t="str">
        <x:v>Hai user sở hữu mã còn đúng 1 lượt; stock đủ.</x:v>
      </x:c>
      <x:c r="I226" s="29" t="str">
        <x:v>Hai đơn COD test đồng thời dùng cùng mã.</x:v>
      </x:c>
      <x:c r="J226" s="29" t="str">
        <x:v>1. Gửi đồng thời hai đơn.
2. Kiểm tra Order count, usage, stock và quote claim.</x:v>
      </x:c>
      <x:c r="K226" s="30" t="str">
        <x:v>201 + 4xx</x:v>
      </x:c>
      <x:c r="L226" s="29" t="str">
        <x:v>Chỉ một đơn giữ được lượt; đơn còn lại rollback stock/quote; usage không vượt limit.</x:v>
      </x:c>
      <x:c r="M226" s="30" t="str">
        <x:v>Not Run</x:v>
      </x:c>
      <x:c r="N226" s="29"/>
      <x:c r="O226" s="29"/>
      <x:c r="P226" s="31"/>
      <x:c r="Q226" s="29" t="str"/>
    </x:row>
    <x:row r="227" ht="48" hidden="0" customHeight="1">
      <x:c r="A227" s="32" t="str">
        <x:v>API-222</x:v>
      </x:c>
      <x:c r="B227" s="33" t="str">
        <x:v>Chat AI</x:v>
      </x:c>
      <x:c r="C227" s="33" t="str">
        <x:v>Trả lời và gợi ý product từ catalog thật</x:v>
      </x:c>
      <x:c r="D227" s="34" t="str">
        <x:v>POST</x:v>
      </x:c>
      <x:c r="E227" s="33" t="str">
        <x:v>/api/chatbox/message</x:v>
      </x:c>
      <x:c r="F227" s="33" t="str">
        <x:v>Integration</x:v>
      </x:c>
      <x:c r="G227" s="34" t="str">
        <x:v>High</x:v>
      </x:c>
      <x:c r="H227" s="33" t="str">
        <x:v>Có JWT customer active; dùng dữ liệu test riêng. Mock Gemini trả đường dẫn product active có trong DB.</x:v>
      </x:c>
      <x:c r="I227" s="33" t="str">
        <x:v>{message:"Goi y banh sinh nhat",history:[]}</x:v>
      </x:c>
      <x:c r="J227" s="33" t="str">
        <x:v>1. Seed catalog.
2. Mock reply có link thật và link ID giả.
3. Kiểm tra products trả về.</x:v>
      </x:c>
      <x:c r="K227" s="34" t="n">
        <x:v>200</x:v>
      </x:c>
      <x:c r="L227" s="33" t="str">
        <x:v>reply có nội dung; products gồm ID/tên/giá/ảnh/detailPath khớp catalog, không sinh card cho ID không tồn tại.</x:v>
      </x:c>
      <x:c r="M227" s="30" t="str">
        <x:v>Not Run</x:v>
      </x:c>
      <x:c r="N227" s="33"/>
      <x:c r="O227" s="33"/>
      <x:c r="P227" s="35"/>
      <x:c r="Q227" s="33" t="str">
        <x:v>Nguồn: services/chatbox.js; middleware/chatboxRateLimit.js.</x:v>
      </x:c>
    </x:row>
    <x:row r="228" ht="54" hidden="0" customHeight="1">
      <x:c r="A228" s="28" t="str">
        <x:v>API-223</x:v>
      </x:c>
      <x:c r="B228" s="29" t="str">
        <x:v>Chat AI</x:v>
      </x:c>
      <x:c r="C228" s="29" t="str">
        <x:v>Từ chối tin nhắn rỗng</x:v>
      </x:c>
      <x:c r="D228" s="30" t="str">
        <x:v>POST</x:v>
      </x:c>
      <x:c r="E228" s="29" t="str">
        <x:v>/api/chatbox/message</x:v>
      </x:c>
      <x:c r="F228" s="29" t="str">
        <x:v>Validation</x:v>
      </x:c>
      <x:c r="G228" s="30" t="str">
        <x:v>High</x:v>
      </x:c>
      <x:c r="H228" s="29" t="str">
        <x:v>Có JWT customer active; dùng dữ liệu test riêng.</x:v>
      </x:c>
      <x:c r="I228" s="29" t="str">
        <x:v>message="   "</x:v>
      </x:c>
      <x:c r="J228" s="29" t="str">
        <x:v>1. Gửi payload sai.
2. Kiểm tra HTTP/code.
3. Xác nhận mock provider chưa được gọi.</x:v>
      </x:c>
      <x:c r="K228" s="30" t="n">
        <x:v>400</x:v>
      </x:c>
      <x:c r="L228" s="29" t="str">
        <x:v>Trả CHAT_MESSAGE_REQUIRED; không gọi Gemini với payload không hợp lệ.</x:v>
      </x:c>
      <x:c r="M228" s="30" t="str">
        <x:v>Not Run</x:v>
      </x:c>
      <x:c r="N228" s="29"/>
      <x:c r="O228" s="29"/>
      <x:c r="P228" s="31"/>
      <x:c r="Q228" s="29" t="str"/>
    </x:row>
    <x:row r="229" ht="54" hidden="0" customHeight="1">
      <x:c r="A229" s="32" t="str">
        <x:v>API-224</x:v>
      </x:c>
      <x:c r="B229" s="33" t="str">
        <x:v>Chat AI</x:v>
      </x:c>
      <x:c r="C229" s="33" t="str">
        <x:v>Từ chối tin nhắn quá dài</x:v>
      </x:c>
      <x:c r="D229" s="34" t="str">
        <x:v>POST</x:v>
      </x:c>
      <x:c r="E229" s="33" t="str">
        <x:v>/api/chatbox/message</x:v>
      </x:c>
      <x:c r="F229" s="33" t="str">
        <x:v>Validation</x:v>
      </x:c>
      <x:c r="G229" s="34" t="str">
        <x:v>High</x:v>
      </x:c>
      <x:c r="H229" s="33" t="str">
        <x:v>Có JWT customer active; dùng dữ liệu test riêng.</x:v>
      </x:c>
      <x:c r="I229" s="33" t="str">
        <x:v>message dài 1201 ký tự</x:v>
      </x:c>
      <x:c r="J229" s="33" t="str">
        <x:v>1. Gửi payload sai.
2. Kiểm tra HTTP/code.
3. Xác nhận mock provider chưa được gọi.</x:v>
      </x:c>
      <x:c r="K229" s="34" t="n">
        <x:v>400</x:v>
      </x:c>
      <x:c r="L229" s="33" t="str">
        <x:v>Trả CHAT_MESSAGE_TOO_LONG; không gọi Gemini với payload không hợp lệ.</x:v>
      </x:c>
      <x:c r="M229" s="30" t="str">
        <x:v>Not Run</x:v>
      </x:c>
      <x:c r="N229" s="33"/>
      <x:c r="O229" s="33"/>
      <x:c r="P229" s="35"/>
      <x:c r="Q229" s="33" t="str"/>
    </x:row>
    <x:row r="230" ht="54" hidden="0" customHeight="1">
      <x:c r="A230" s="28" t="str">
        <x:v>API-225</x:v>
      </x:c>
      <x:c r="B230" s="29" t="str">
        <x:v>Chat AI</x:v>
      </x:c>
      <x:c r="C230" s="29" t="str">
        <x:v>Từ chối history sai định dạng</x:v>
      </x:c>
      <x:c r="D230" s="30" t="str">
        <x:v>POST</x:v>
      </x:c>
      <x:c r="E230" s="29" t="str">
        <x:v>/api/chatbox/message</x:v>
      </x:c>
      <x:c r="F230" s="29" t="str">
        <x:v>Validation</x:v>
      </x:c>
      <x:c r="G230" s="30" t="str">
        <x:v>High</x:v>
      </x:c>
      <x:c r="H230" s="29" t="str">
        <x:v>Có JWT customer active; dùng dữ liệu test riêng.</x:v>
      </x:c>
      <x:c r="I230" s="29" t="str">
        <x:v>history không là array hoặc role=system</x:v>
      </x:c>
      <x:c r="J230" s="29" t="str">
        <x:v>1. Gửi payload sai.
2. Kiểm tra HTTP/code.
3. Xác nhận mock provider chưa được gọi.</x:v>
      </x:c>
      <x:c r="K230" s="30" t="n">
        <x:v>400</x:v>
      </x:c>
      <x:c r="L230" s="29" t="str">
        <x:v>Trả INVALID_CHAT_HISTORY; không gọi Gemini với payload không hợp lệ.</x:v>
      </x:c>
      <x:c r="M230" s="30" t="str">
        <x:v>Not Run</x:v>
      </x:c>
      <x:c r="N230" s="29"/>
      <x:c r="O230" s="29"/>
      <x:c r="P230" s="31"/>
      <x:c r="Q230" s="29" t="str"/>
    </x:row>
    <x:row r="231" ht="54" hidden="0" customHeight="1">
      <x:c r="A231" s="32" t="str">
        <x:v>API-226</x:v>
      </x:c>
      <x:c r="B231" s="33" t="str">
        <x:v>Chat AI</x:v>
      </x:c>
      <x:c r="C231" s="33" t="str">
        <x:v>Xử lý thiếu GEMINI_API_KEY</x:v>
      </x:c>
      <x:c r="D231" s="34" t="str">
        <x:v>POST</x:v>
      </x:c>
      <x:c r="E231" s="33" t="str">
        <x:v>/api/chatbox/message</x:v>
      </x:c>
      <x:c r="F231" s="33" t="str">
        <x:v>Integration</x:v>
      </x:c>
      <x:c r="G231" s="34" t="str">
        <x:v>High</x:v>
      </x:c>
      <x:c r="H231" s="33" t="str">
        <x:v>Có JWT customer active; dùng dữ liệu test riêng. Môi trường test/mock riêng.</x:v>
      </x:c>
      <x:c r="I231" s="33" t="str">
        <x:v>message hợp lệ; thiếu GEMINI_API_KEY.</x:v>
      </x:c>
      <x:c r="J231" s="33" t="str">
        <x:v>1. Thiết lập fixture lỗi tương ứng.
2. POST message.
3. Kiểm tra code và không có secret trong response.</x:v>
      </x:c>
      <x:c r="K231" s="34" t="n">
        <x:v>503</x:v>
      </x:c>
      <x:c r="L231" s="33" t="str">
        <x:v>Lỗi AI_NOT_CONFIGURED rõ ràng; không lộ key, prompt hoặc dữ liệu khách hàng khác.</x:v>
      </x:c>
      <x:c r="M231" s="30" t="str">
        <x:v>Not Run</x:v>
      </x:c>
      <x:c r="N231" s="33"/>
      <x:c r="O231" s="33"/>
      <x:c r="P231" s="35"/>
      <x:c r="Q231" s="33" t="str"/>
    </x:row>
    <x:row r="232" ht="54" hidden="0" customHeight="1">
      <x:c r="A232" s="28" t="str">
        <x:v>API-227</x:v>
      </x:c>
      <x:c r="B232" s="29" t="str">
        <x:v>Chat AI</x:v>
      </x:c>
      <x:c r="C232" s="29" t="str">
        <x:v>Xử lý provider từ chối key</x:v>
      </x:c>
      <x:c r="D232" s="30" t="str">
        <x:v>POST</x:v>
      </x:c>
      <x:c r="E232" s="29" t="str">
        <x:v>/api/chatbox/message</x:v>
      </x:c>
      <x:c r="F232" s="29" t="str">
        <x:v>Integration</x:v>
      </x:c>
      <x:c r="G232" s="30" t="str">
        <x:v>High</x:v>
      </x:c>
      <x:c r="H232" s="29" t="str">
        <x:v>Có JWT customer active; dùng dữ liệu test riêng. Môi trường test/mock riêng.</x:v>
      </x:c>
      <x:c r="I232" s="29" t="str">
        <x:v>message hợp lệ; provider từ chối key.</x:v>
      </x:c>
      <x:c r="J232" s="29" t="str">
        <x:v>1. Thiết lập fixture lỗi tương ứng.
2. POST message.
3. Kiểm tra code và không có secret trong response.</x:v>
      </x:c>
      <x:c r="K232" s="30" t="n">
        <x:v>503</x:v>
      </x:c>
      <x:c r="L232" s="29" t="str">
        <x:v>Lỗi AI_AUTHENTICATION_ERROR rõ ràng; không lộ key, prompt hoặc dữ liệu khách hàng khác.</x:v>
      </x:c>
      <x:c r="M232" s="30" t="str">
        <x:v>Not Run</x:v>
      </x:c>
      <x:c r="N232" s="29"/>
      <x:c r="O232" s="29"/>
      <x:c r="P232" s="31"/>
      <x:c r="Q232" s="29" t="str"/>
    </x:row>
    <x:row r="233" ht="54" hidden="0" customHeight="1">
      <x:c r="A233" s="32" t="str">
        <x:v>API-228</x:v>
      </x:c>
      <x:c r="B233" s="33" t="str">
        <x:v>Chat AI</x:v>
      </x:c>
      <x:c r="C233" s="33" t="str">
        <x:v>Xử lý provider hết quota</x:v>
      </x:c>
      <x:c r="D233" s="34" t="str">
        <x:v>POST</x:v>
      </x:c>
      <x:c r="E233" s="33" t="str">
        <x:v>/api/chatbox/message</x:v>
      </x:c>
      <x:c r="F233" s="33" t="str">
        <x:v>Integration</x:v>
      </x:c>
      <x:c r="G233" s="34" t="str">
        <x:v>High</x:v>
      </x:c>
      <x:c r="H233" s="33" t="str">
        <x:v>Có JWT customer active; dùng dữ liệu test riêng. Môi trường test/mock riêng.</x:v>
      </x:c>
      <x:c r="I233" s="33" t="str">
        <x:v>message hợp lệ; provider hết quota.</x:v>
      </x:c>
      <x:c r="J233" s="33" t="str">
        <x:v>1. Thiết lập fixture lỗi tương ứng.
2. POST message.
3. Kiểm tra code và không có secret trong response.</x:v>
      </x:c>
      <x:c r="K233" s="34" t="n">
        <x:v>429</x:v>
      </x:c>
      <x:c r="L233" s="33" t="str">
        <x:v>Lỗi AI_RATE_LIMITED rõ ràng; không lộ key, prompt hoặc dữ liệu khách hàng khác.</x:v>
      </x:c>
      <x:c r="M233" s="30" t="str">
        <x:v>Not Run</x:v>
      </x:c>
      <x:c r="N233" s="33"/>
      <x:c r="O233" s="33"/>
      <x:c r="P233" s="35"/>
      <x:c r="Q233" s="33" t="str"/>
    </x:row>
    <x:row r="234" ht="54" hidden="0" customHeight="1">
      <x:c r="A234" s="28" t="str">
        <x:v>API-229</x:v>
      </x:c>
      <x:c r="B234" s="29" t="str">
        <x:v>Chat AI</x:v>
      </x:c>
      <x:c r="C234" s="29" t="str">
        <x:v>Xử lý provider timeout</x:v>
      </x:c>
      <x:c r="D234" s="30" t="str">
        <x:v>POST</x:v>
      </x:c>
      <x:c r="E234" s="29" t="str">
        <x:v>/api/chatbox/message</x:v>
      </x:c>
      <x:c r="F234" s="29" t="str">
        <x:v>Integration</x:v>
      </x:c>
      <x:c r="G234" s="30" t="str">
        <x:v>High</x:v>
      </x:c>
      <x:c r="H234" s="29" t="str">
        <x:v>Có JWT customer active; dùng dữ liệu test riêng. Môi trường test/mock riêng.</x:v>
      </x:c>
      <x:c r="I234" s="29" t="str">
        <x:v>message hợp lệ; provider timeout.</x:v>
      </x:c>
      <x:c r="J234" s="29" t="str">
        <x:v>1. Thiết lập fixture lỗi tương ứng.
2. POST message.
3. Kiểm tra code và không có secret trong response.</x:v>
      </x:c>
      <x:c r="K234" s="30" t="n">
        <x:v>504</x:v>
      </x:c>
      <x:c r="L234" s="29" t="str">
        <x:v>Lỗi AI_TIMEOUT rõ ràng; không lộ key, prompt hoặc dữ liệu khách hàng khác.</x:v>
      </x:c>
      <x:c r="M234" s="30" t="str">
        <x:v>Not Run</x:v>
      </x:c>
      <x:c r="N234" s="29"/>
      <x:c r="O234" s="29"/>
      <x:c r="P234" s="31"/>
      <x:c r="Q234" s="29" t="str"/>
    </x:row>
    <x:row r="235" ht="48" hidden="0" customHeight="1">
      <x:c r="A235" s="32" t="str">
        <x:v>API-230</x:v>
      </x:c>
      <x:c r="B235" s="33" t="str">
        <x:v>Chat AI</x:v>
      </x:c>
      <x:c r="C235" s="33" t="str">
        <x:v>Không gọi chat khi chưa đăng nhập</x:v>
      </x:c>
      <x:c r="D235" s="34" t="str">
        <x:v>POST</x:v>
      </x:c>
      <x:c r="E235" s="33" t="str">
        <x:v>/api/chatbox/message</x:v>
      </x:c>
      <x:c r="F235" s="33" t="str">
        <x:v>Security</x:v>
      </x:c>
      <x:c r="G235" s="34" t="str">
        <x:v>High</x:v>
      </x:c>
      <x:c r="H235" s="33" t="str">
        <x:v>Không gửi JWT.</x:v>
      </x:c>
      <x:c r="I235" s="33" t="str">
        <x:v>{message:"Hello"}</x:v>
      </x:c>
      <x:c r="J235" s="33" t="str">
        <x:v>1. POST không Authorization.
2. Kiểm tra HTTP và provider call count.</x:v>
      </x:c>
      <x:c r="K235" s="34" t="n">
        <x:v>401</x:v>
      </x:c>
      <x:c r="L235" s="33" t="str">
        <x:v>Không gọi Gemini hoặc trả catalog riêng tư.</x:v>
      </x:c>
      <x:c r="M235" s="30" t="str">
        <x:v>Not Run</x:v>
      </x:c>
      <x:c r="N235" s="33"/>
      <x:c r="O235" s="33"/>
      <x:c r="P235" s="35"/>
      <x:c r="Q235" s="33" t="str"/>
    </x:row>
    <x:row r="236" ht="66" hidden="0" customHeight="1">
      <x:c r="A236" s="28" t="str">
        <x:v>API-231</x:v>
      </x:c>
      <x:c r="B236" s="29" t="str">
        <x:v>Admin Dashboard</x:v>
      </x:c>
      <x:c r="C236" s="29" t="str">
        <x:v>Tổng quan lấy dữ liệu DB, không hardcode</x:v>
      </x:c>
      <x:c r="D236" s="30" t="str">
        <x:v>GET</x:v>
      </x:c>
      <x:c r="E236" s="29" t="str">
        <x:v>/api/admin/dashboard/overview?range=30d</x:v>
      </x:c>
      <x:c r="F236" s="29" t="str">
        <x:v>Positive</x:v>
      </x:c>
      <x:c r="G236" s="30" t="str">
        <x:v>High</x:v>
      </x:c>
      <x:c r="H236" s="29" t="str">
        <x:v>Có JWT admin hợp lệ; dùng dữ liệu test riêng. Có tập đơn/sản phẩm/user seed biết trước.</x:v>
      </x:c>
      <x:c r="I236" s="29" t="str">
        <x:v>range=30d; timezoneOffset=420.</x:v>
      </x:c>
      <x:c r="J236" s="29" t="str">
        <x:v>1. Tính số mong đợi từ fixture.
2. GET overview.
3. Đối chiếu từng chỉ số.</x:v>
      </x:c>
      <x:c r="K236" s="30" t="n">
        <x:v>200</x:v>
      </x:c>
      <x:c r="L236" s="29" t="str">
        <x:v>Doanh thu, đơn hôm nay, khách, sản phẩm, chuỗi doanh số, best sellers và recent orders khớp tập seed.</x:v>
      </x:c>
      <x:c r="M236" s="30" t="str">
        <x:v>Not Run</x:v>
      </x:c>
      <x:c r="N236" s="29"/>
      <x:c r="O236" s="29"/>
      <x:c r="P236" s="31"/>
      <x:c r="Q236" s="29" t="str">
        <x:v>Nguồn: services/adminDashboard.js; doanh thu theo bộ lọc nghiệp vụ hiện hành, không tự giả định chỉ Paid.</x:v>
      </x:c>
    </x:row>
    <x:row r="237" ht="54" hidden="0" customHeight="1">
      <x:c r="A237" s="32" t="str">
        <x:v>API-232</x:v>
      </x:c>
      <x:c r="B237" s="33" t="str">
        <x:v>Admin Dashboard</x:v>
      </x:c>
      <x:c r="C237" s="33" t="str">
        <x:v>Không cộng đơn Cancelled/Failed hoặc payment Refunded vào doanh số</x:v>
      </x:c>
      <x:c r="D237" s="34" t="str">
        <x:v>GET</x:v>
      </x:c>
      <x:c r="E237" s="33" t="str">
        <x:v>/api/admin/dashboard/overview</x:v>
      </x:c>
      <x:c r="F237" s="33" t="str">
        <x:v>Business Rule</x:v>
      </x:c>
      <x:c r="G237" s="34" t="str">
        <x:v>Critical</x:v>
      </x:c>
      <x:c r="H237" s="33" t="str">
        <x:v>Có JWT admin hợp lệ; dùng dữ liệu test riêng. Seed đơn hợp lệ và các đơn bị loại có total khác nhau.</x:v>
      </x:c>
      <x:c r="I237" s="33" t="str">
        <x:v>Cùng kỳ báo cáo.</x:v>
      </x:c>
      <x:c r="J237" s="33" t="str">
        <x:v>1. Chụp kết quả baseline.
2. Seed các trạng thái loại trừ.
3. Gọi lại và kiểm tra doanh số không tăng vì các đơn đó.</x:v>
      </x:c>
      <x:c r="K237" s="34" t="n">
        <x:v>200</x:v>
      </x:c>
      <x:c r="L237" s="33" t="str">
        <x:v>Doanh thu/best sellers không cộng bản ghi bị loại theo điều kiện hiện tại.</x:v>
      </x:c>
      <x:c r="M237" s="30" t="str">
        <x:v>Not Run</x:v>
      </x:c>
      <x:c r="N237" s="33"/>
      <x:c r="O237" s="33"/>
      <x:c r="P237" s="35"/>
      <x:c r="Q237" s="33" t="str"/>
    </x:row>
    <x:row r="238" ht="48" hidden="0" customHeight="1">
      <x:c r="A238" s="28" t="str">
        <x:v>API-233</x:v>
      </x:c>
      <x:c r="B238" s="29" t="str">
        <x:v>Admin Dashboard</x:v>
      </x:c>
      <x:c r="C238" s="29" t="str">
        <x:v>Chặn customer và token giả role admin</x:v>
      </x:c>
      <x:c r="D238" s="30" t="str">
        <x:v>GET</x:v>
      </x:c>
      <x:c r="E238" s="29" t="str">
        <x:v>/api/admin/dashboard/overview</x:v>
      </x:c>
      <x:c r="F238" s="29" t="str">
        <x:v>Security</x:v>
      </x:c>
      <x:c r="G238" s="30" t="str">
        <x:v>Critical</x:v>
      </x:c>
      <x:c r="H238" s="29" t="str">
        <x:v>JWT customer hợp lệ; localStorage hoặc payload UI giả role admin.</x:v>
      </x:c>
      <x:c r="I238" s="29" t="str">
        <x:v>Token customer.</x:v>
      </x:c>
      <x:c r="J238" s="29" t="str">
        <x:v>1. Gọi bằng token customer.
2. Thay cached role thành admin rồi gọi lại.</x:v>
      </x:c>
      <x:c r="K238" s="30" t="n">
        <x:v>403</x:v>
      </x:c>
      <x:c r="L238" s="29" t="str">
        <x:v>Server từ chối; không lộ báo cáo doanh thu/khách hàng.</x:v>
      </x:c>
      <x:c r="M238" s="30" t="str">
        <x:v>Not Run</x:v>
      </x:c>
      <x:c r="N238" s="29"/>
      <x:c r="O238" s="29"/>
      <x:c r="P238" s="31"/>
      <x:c r="Q238" s="29" t="str"/>
    </x:row>
    <x:row r="239" ht="48" hidden="0" customHeight="1">
      <x:c r="A239" s="32" t="str">
        <x:v>API-234</x:v>
      </x:c>
      <x:c r="B239" s="33" t="str">
        <x:v>Admin Dashboard</x:v>
      </x:c>
      <x:c r="C239" s="33" t="str">
        <x:v>Validate kỳ báo cáo và timezone</x:v>
      </x:c>
      <x:c r="D239" s="34" t="str">
        <x:v>GET</x:v>
      </x:c>
      <x:c r="E239" s="33" t="str">
        <x:v>/api/admin/dashboard/overview?range=bad&amp;timezoneOffset=9999</x:v>
      </x:c>
      <x:c r="F239" s="33" t="str">
        <x:v>Validation</x:v>
      </x:c>
      <x:c r="G239" s="34" t="str">
        <x:v>Medium</x:v>
      </x:c>
      <x:c r="H239" s="33" t="str">
        <x:v>Có JWT admin hợp lệ; dùng dữ liệu test riêng.</x:v>
      </x:c>
      <x:c r="I239" s="33" t="str">
        <x:v>range=bad; thử riêng timezoneOffset=9999.</x:v>
      </x:c>
      <x:c r="J239" s="33" t="str">
        <x:v>1. Gửi từng query sai độc lập.
2. Kiểm tra HTTP và code lỗi.</x:v>
      </x:c>
      <x:c r="K239" s="34" t="n">
        <x:v>400</x:v>
      </x:c>
      <x:c r="L239" s="33" t="str">
        <x:v>Từ chối kỳ không hỗ trợ hoặc timezone không hợp lệ; không trả số liệu gây hiểu nhầm.</x:v>
      </x:c>
      <x:c r="M239" s="30" t="str">
        <x:v>Not Run</x:v>
      </x:c>
      <x:c r="N239" s="33"/>
      <x:c r="O239" s="33"/>
      <x:c r="P239" s="35"/>
      <x:c r="Q239" s="33" t="str"/>
    </x:row>
    <x:row r="240" ht="54" hidden="0" customHeight="1">
      <x:c r="A240" s="28" t="str">
        <x:v>API-235</x:v>
      </x:c>
      <x:c r="B240" s="29" t="str">
        <x:v>Admin Dashboard</x:v>
      </x:c>
      <x:c r="C240" s="29" t="str">
        <x:v>Best seller dùng ảnh catalog khi snapshot thiếu</x:v>
      </x:c>
      <x:c r="D240" s="30" t="str">
        <x:v>GET</x:v>
      </x:c>
      <x:c r="E240" s="29" t="str">
        <x:v>/api/admin/dashboard/overview</x:v>
      </x:c>
      <x:c r="F240" s="29" t="str">
        <x:v>Regression</x:v>
      </x:c>
      <x:c r="G240" s="30" t="str">
        <x:v>Medium</x:v>
      </x:c>
      <x:c r="H240" s="29" t="str">
        <x:v>Có JWT admin hợp lệ; dùng dữ liệu test riêng. Order snapshot ảnh rỗng, catalog còn ảnh.</x:v>
      </x:c>
      <x:c r="I240" s="29" t="str">
        <x:v>Có doanh số cho sản phẩm đó.</x:v>
      </x:c>
      <x:c r="J240" s="29" t="str">
        <x:v>1. Seed hai tình huống thiếu snapshot và product đã xoá.
2. GET dashboard.
3. Kiểm tra ảnh/tên/doanh số.</x:v>
      </x:c>
      <x:c r="K240" s="30" t="n">
        <x:v>200</x:v>
      </x:c>
      <x:c r="L240" s="29" t="str">
        <x:v>Tên/units/revenue đúng; ảnh dự phòng lấy từ catalog; bản ghi đã xoá vẫn giữ snapshot có sẵn.</x:v>
      </x:c>
      <x:c r="M240" s="30" t="str">
        <x:v>Not Run</x:v>
      </x:c>
      <x:c r="N240" s="29"/>
      <x:c r="O240" s="29"/>
      <x:c r="P240" s="31"/>
      <x:c r="Q240" s="29" t="str"/>
    </x:row>
    <x:row r="241" ht="48" hidden="0" customHeight="1">
      <x:c r="A241" s="32" t="str">
        <x:v>API-236</x:v>
      </x:c>
      <x:c r="B241" s="33" t="str">
        <x:v>Admin Customers</x:v>
      </x:c>
      <x:c r="C241" s="33" t="str">
        <x:v>Tìm/lọc customer và thống kê đơn</x:v>
      </x:c>
      <x:c r="D241" s="34" t="str">
        <x:v>GET</x:v>
      </x:c>
      <x:c r="E241" s="33" t="str">
        <x:v>/api/users/admin/customers?search=qa&amp;status=active&amp;role=customer</x:v>
      </x:c>
      <x:c r="F241" s="33" t="str">
        <x:v>Positive</x:v>
      </x:c>
      <x:c r="G241" s="34" t="str">
        <x:v>High</x:v>
      </x:c>
      <x:c r="H241" s="33" t="str">
        <x:v>Có JWT admin hợp lệ; dùng dữ liệu test riêng.</x:v>
      </x:c>
      <x:c r="I241" s="33" t="str">
        <x:v>Tên/email/điện thoại chứa qa; có user inactive.</x:v>
      </x:c>
      <x:c r="J241" s="33" t="str">
        <x:v>1. Seed A/B và orders.
2. Gọi list theo bộ lọc.
3. Đối chiếu số đếm và trường riêng tư.</x:v>
      </x:c>
      <x:c r="K241" s="34" t="n">
        <x:v>200</x:v>
      </x:c>
      <x:c r="L241" s="33" t="str">
        <x:v>Chỉ trả khách khớp filter; orderCount, totalSpent, voucherCount đúng; không có password/OTP.</x:v>
      </x:c>
      <x:c r="M241" s="30" t="str">
        <x:v>Not Run</x:v>
      </x:c>
      <x:c r="N241" s="33"/>
      <x:c r="O241" s="33"/>
      <x:c r="P241" s="35"/>
      <x:c r="Q241" s="33" t="str">
        <x:v>Nguồn: routes/userRoutes.js, nhóm /admin/customers.</x:v>
      </x:c>
    </x:row>
    <x:row r="242" ht="48" hidden="0" customHeight="1">
      <x:c r="A242" s="28" t="str">
        <x:v>API-237</x:v>
      </x:c>
      <x:c r="B242" s="29" t="str">
        <x:v>Admin Customers</x:v>
      </x:c>
      <x:c r="C242" s="29" t="str">
        <x:v>Xem chi tiết customer có tối đa 5 đơn gần đây</x:v>
      </x:c>
      <x:c r="D242" s="30" t="str">
        <x:v>GET</x:v>
      </x:c>
      <x:c r="E242" s="29" t="str">
        <x:v>/api/users/admin/customers/:id</x:v>
      </x:c>
      <x:c r="F242" s="29" t="str">
        <x:v>Positive</x:v>
      </x:c>
      <x:c r="G242" s="30" t="str">
        <x:v>High</x:v>
      </x:c>
      <x:c r="H242" s="29" t="str">
        <x:v>Có JWT admin hợp lệ; dùng dữ liệu test riêng. Customer có hơn 5 đơn.</x:v>
      </x:c>
      <x:c r="I242" s="29" t="str">
        <x:v>Customer ID hợp lệ.</x:v>
      </x:c>
      <x:c r="J242" s="29" t="str">
        <x:v>1. GET detail.
2. So thứ tự orderedOn và số recentOrders.</x:v>
      </x:c>
      <x:c r="K242" s="30" t="n">
        <x:v>200</x:v>
      </x:c>
      <x:c r="L242" s="29" t="str">
        <x:v>Đúng customer, thống kê và tối đa 5 đơn mới nhất; không lộ hash password.</x:v>
      </x:c>
      <x:c r="M242" s="30" t="str">
        <x:v>Not Run</x:v>
      </x:c>
      <x:c r="N242" s="29"/>
      <x:c r="O242" s="29"/>
      <x:c r="P242" s="31"/>
      <x:c r="Q242" s="29" t="str"/>
    </x:row>
    <x:row r="243" ht="48" hidden="0" customHeight="1">
      <x:c r="A243" s="32" t="str">
        <x:v>API-238</x:v>
      </x:c>
      <x:c r="B243" s="33" t="str">
        <x:v>Admin Customers</x:v>
      </x:c>
      <x:c r="C243" s="33" t="str">
        <x:v>Khoá và mở khoá tài khoản customer</x:v>
      </x:c>
      <x:c r="D243" s="34" t="str">
        <x:v>PATCH</x:v>
      </x:c>
      <x:c r="E243" s="33" t="str">
        <x:v>/api/users/admin/customers/:id/status</x:v>
      </x:c>
      <x:c r="F243" s="33" t="str">
        <x:v>Business Rule</x:v>
      </x:c>
      <x:c r="G243" s="34" t="str">
        <x:v>Critical</x:v>
      </x:c>
      <x:c r="H243" s="33" t="str">
        <x:v>Có JWT admin hợp lệ; dùng dữ liệu test riêng. Customer A active.</x:v>
      </x:c>
      <x:c r="I243" s="33" t="str">
        <x:v>{isActive:false}, sau đó {isActive:true}.</x:v>
      </x:c>
      <x:c r="J243" s="33" t="str">
        <x:v>1. Khoá A.
2. Thử login và token cũ.
3. Mở A và thử login lại.</x:v>
      </x:c>
      <x:c r="K243" s="34" t="n">
        <x:v>200</x:v>
      </x:c>
      <x:c r="L243" s="33" t="str">
        <x:v>Lưu đúng isActive; khoá chặn login/token cũ, mở lại cho login hợp lệ.</x:v>
      </x:c>
      <x:c r="M243" s="30" t="str">
        <x:v>Not Run</x:v>
      </x:c>
      <x:c r="N243" s="33"/>
      <x:c r="O243" s="33"/>
      <x:c r="P243" s="35"/>
      <x:c r="Q243" s="33" t="str"/>
    </x:row>
    <x:row r="244" ht="48" hidden="0" customHeight="1">
      <x:c r="A244" s="28" t="str">
        <x:v>API-239</x:v>
      </x:c>
      <x:c r="B244" s="29" t="str">
        <x:v>Admin Customers</x:v>
      </x:c>
      <x:c r="C244" s="29" t="str">
        <x:v>Không cho tự khoá mình</x:v>
      </x:c>
      <x:c r="D244" s="30" t="str">
        <x:v>PATCH</x:v>
      </x:c>
      <x:c r="E244" s="29" t="str">
        <x:v>/api/users/admin/customers/:id/status</x:v>
      </x:c>
      <x:c r="F244" s="29" t="str">
        <x:v>Security</x:v>
      </x:c>
      <x:c r="G244" s="30" t="str">
        <x:v>Critical</x:v>
      </x:c>
      <x:c r="H244" s="29" t="str">
        <x:v>Có JWT admin hợp lệ; dùng dữ liệu test riêng.</x:v>
      </x:c>
      <x:c r="I244" s="29" t="str">
        <x:v>Target=chính admin đang đăng nhập; isActive=false.</x:v>
      </x:c>
      <x:c r="J244" s="29" t="str">
        <x:v>1. Đọc trạng thái target.
2. PATCH khoá.
3. Đọc lại target.</x:v>
      </x:c>
      <x:c r="K244" s="30" t="n">
        <x:v>400</x:v>
      </x:c>
      <x:c r="L244" s="29" t="str">
        <x:v>Từ chối; trạng thái và quyền admin giữ nguyên.</x:v>
      </x:c>
      <x:c r="M244" s="30" t="str">
        <x:v>Not Run</x:v>
      </x:c>
      <x:c r="N244" s="29"/>
      <x:c r="O244" s="29"/>
      <x:c r="P244" s="31"/>
      <x:c r="Q244" s="29" t="str"/>
    </x:row>
    <x:row r="245" ht="48" hidden="0" customHeight="1">
      <x:c r="A245" s="32" t="str">
        <x:v>API-240</x:v>
      </x:c>
      <x:c r="B245" s="33" t="str">
        <x:v>Admin Customers</x:v>
      </x:c>
      <x:c r="C245" s="33" t="str">
        <x:v>Không cho khoá admin khác</x:v>
      </x:c>
      <x:c r="D245" s="34" t="str">
        <x:v>PATCH</x:v>
      </x:c>
      <x:c r="E245" s="33" t="str">
        <x:v>/api/users/admin/customers/:id/status</x:v>
      </x:c>
      <x:c r="F245" s="33" t="str">
        <x:v>Security</x:v>
      </x:c>
      <x:c r="G245" s="34" t="str">
        <x:v>Critical</x:v>
      </x:c>
      <x:c r="H245" s="33" t="str">
        <x:v>Có JWT admin hợp lệ; dùng dữ liệu test riêng.</x:v>
      </x:c>
      <x:c r="I245" s="33" t="str">
        <x:v>Target=admin khác; isActive=false.</x:v>
      </x:c>
      <x:c r="J245" s="33" t="str">
        <x:v>1. Đọc trạng thái target.
2. PATCH khoá.
3. Đọc lại target.</x:v>
      </x:c>
      <x:c r="K245" s="34" t="n">
        <x:v>400</x:v>
      </x:c>
      <x:c r="L245" s="33" t="str">
        <x:v>Từ chối; trạng thái và quyền admin giữ nguyên.</x:v>
      </x:c>
      <x:c r="M245" s="30" t="str">
        <x:v>Not Run</x:v>
      </x:c>
      <x:c r="N245" s="33"/>
      <x:c r="O245" s="33"/>
      <x:c r="P245" s="35"/>
      <x:c r="Q245" s="33" t="str"/>
    </x:row>
    <x:row r="246" ht="48" hidden="0" customHeight="1">
      <x:c r="A246" s="28" t="str">
        <x:v>API-241</x:v>
      </x:c>
      <x:c r="B246" s="29" t="str">
        <x:v>Admin Customers</x:v>
      </x:c>
      <x:c r="C246" s="29" t="str">
        <x:v>Customer không xem/đổi trạng thái người khác</x:v>
      </x:c>
      <x:c r="D246" s="30" t="str">
        <x:v>PATCH</x:v>
      </x:c>
      <x:c r="E246" s="29" t="str">
        <x:v>/api/users/admin/customers/:id/status</x:v>
      </x:c>
      <x:c r="F246" s="29" t="str">
        <x:v>Security</x:v>
      </x:c>
      <x:c r="G246" s="30" t="str">
        <x:v>Critical</x:v>
      </x:c>
      <x:c r="H246" s="29" t="str">
        <x:v>Có JWT customer active; dùng dữ liệu test riêng.</x:v>
      </x:c>
      <x:c r="I246" s="29" t="str">
        <x:v>{isActive:false}; thử cả GET list/detail.</x:v>
      </x:c>
      <x:c r="J246" s="29" t="str">
        <x:v>1. Gọi list/detail/status bằng customer.
2. Kiểm tra HTTP và DB.</x:v>
      </x:c>
      <x:c r="K246" s="30" t="n">
        <x:v>403</x:v>
      </x:c>
      <x:c r="L246" s="29" t="str">
        <x:v>Tất cả API admin customer bị chặn; không sửa user khác.</x:v>
      </x:c>
      <x:c r="M246" s="30" t="str">
        <x:v>Not Run</x:v>
      </x:c>
      <x:c r="N246" s="29"/>
      <x:c r="O246" s="29"/>
      <x:c r="P246" s="31"/>
      <x:c r="Q246" s="29" t="str"/>
    </x:row>
    <x:row r="247" ht="48" hidden="0" customHeight="1">
      <x:c r="A247" s="32" t="str">
        <x:v>API-242</x:v>
      </x:c>
      <x:c r="B247" s="33" t="str">
        <x:v>Admin Orders</x:v>
      </x:c>
      <x:c r="C247" s="33" t="str">
        <x:v>Lọc đơn theo search/status/tháng và phân trang</x:v>
      </x:c>
      <x:c r="D247" s="34" t="str">
        <x:v>GET</x:v>
      </x:c>
      <x:c r="E247" s="33" t="str">
        <x:v>/api/admin/orders?search=SB-&amp;status=In%20Progress&amp;month=2026-10&amp;page=1&amp;limit=6</x:v>
      </x:c>
      <x:c r="F247" s="33" t="str">
        <x:v>Positive</x:v>
      </x:c>
      <x:c r="G247" s="34" t="str">
        <x:v>High</x:v>
      </x:c>
      <x:c r="H247" s="33" t="str">
        <x:v>Có JWT admin hợp lệ; dùng dữ liệu test riêng. Có đơn ở hai tháng và nhiều trạng thái.</x:v>
      </x:c>
      <x:c r="I247" s="33" t="str">
        <x:v>timezoneOffset=420; month=2026-10.</x:v>
      </x:c>
      <x:c r="J247" s="33" t="str">
        <x:v>1. Seed dữ liệu ở ranh giới tháng.
2. GET filter kết hợp.
3. So tập ID và phân trang.</x:v>
      </x:c>
      <x:c r="K247" s="34" t="n">
        <x:v>200</x:v>
      </x:c>
      <x:c r="L247" s="33" t="str">
        <x:v>orders, total, page, pages khớp bộ lọc; tiền/tên/khách từ snapshot thật.</x:v>
      </x:c>
      <x:c r="M247" s="30" t="str">
        <x:v>Not Run</x:v>
      </x:c>
      <x:c r="N247" s="33"/>
      <x:c r="O247" s="33"/>
      <x:c r="P247" s="35"/>
      <x:c r="Q247" s="33" t="str">
        <x:v>Nguồn: services/adminOrders.js; docs/ADMIN_ORDERS.md.</x:v>
      </x:c>
    </x:row>
    <x:row r="248" ht="48" hidden="0" customHeight="1">
      <x:c r="A248" s="28" t="str">
        <x:v>API-243</x:v>
      </x:c>
      <x:c r="B248" s="29" t="str">
        <x:v>Admin Orders</x:v>
      </x:c>
      <x:c r="C248" s="29" t="str">
        <x:v>Query order admin sai không làm crash</x:v>
      </x:c>
      <x:c r="D248" s="30" t="str">
        <x:v>GET</x:v>
      </x:c>
      <x:c r="E248" s="29" t="str">
        <x:v>/api/admin/orders?month=2026-13</x:v>
      </x:c>
      <x:c r="F248" s="29" t="str">
        <x:v>Validation</x:v>
      </x:c>
      <x:c r="G248" s="30" t="str">
        <x:v>Medium</x:v>
      </x:c>
      <x:c r="H248" s="29" t="str">
        <x:v>Có JWT admin hợp lệ; dùng dữ liệu test riêng.</x:v>
      </x:c>
      <x:c r="I248" s="29" t="str">
        <x:v>Thử month sai, page=0, limit&gt;100 hoặc status không hỗ trợ.</x:v>
      </x:c>
      <x:c r="J248" s="29" t="str">
        <x:v>1. Gửi riêng từng query lỗi.
2. Xác nhận HTTP/code và server vẫn hoạt động.</x:v>
      </x:c>
      <x:c r="K248" s="30" t="n">
        <x:v>400</x:v>
      </x:c>
      <x:c r="L248" s="29" t="str">
        <x:v>Từ chối input sai; không tự trả danh sách khác với filter.</x:v>
      </x:c>
      <x:c r="M248" s="30" t="str">
        <x:v>Not Run</x:v>
      </x:c>
      <x:c r="N248" s="29"/>
      <x:c r="O248" s="29"/>
      <x:c r="P248" s="31"/>
      <x:c r="Q248" s="29" t="str"/>
    </x:row>
    <x:row r="249" ht="48" hidden="0" customHeight="1">
      <x:c r="A249" s="32" t="str">
        <x:v>API-244</x:v>
      </x:c>
      <x:c r="B249" s="33" t="str">
        <x:v>Admin Orders</x:v>
      </x:c>
      <x:c r="C249" s="33" t="str">
        <x:v>Chuyển pickup Preparing sang Ready và gửi mail</x:v>
      </x:c>
      <x:c r="D249" s="34" t="str">
        <x:v>PATCH</x:v>
      </x:c>
      <x:c r="E249" s="33" t="str">
        <x:v>/api/admin/orders/:id/pickup-status</x:v>
      </x:c>
      <x:c r="F249" s="33" t="str">
        <x:v>Business Rule</x:v>
      </x:c>
      <x:c r="G249" s="34" t="str">
        <x:v>Critical</x:v>
      </x:c>
      <x:c r="H249" s="33" t="str">
        <x:v>Có JWT admin hợp lệ; dùng dữ liệu test riêng. Đơn pickup COD Pending hoặc online Paid, PREPARING; SMTP test.</x:v>
      </x:c>
      <x:c r="I249" s="33" t="str">
        <x:v>{pickupStatus:"READY_FOR_PICKUP"}</x:v>
      </x:c>
      <x:c r="J249" s="33" t="str">
        <x:v>1. Chụp stock/mail count.
2. PATCH Ready.
3. GET order và kiểm tra SMTP capture.</x:v>
      </x:c>
      <x:c r="K249" s="34" t="n">
        <x:v>200</x:v>
      </x:c>
      <x:c r="L249" s="33" t="str">
        <x:v>pickupStatus đổi Ready; gửi mail tới email tài khoản; không trừ stock lần nữa.</x:v>
      </x:c>
      <x:c r="M249" s="30" t="str">
        <x:v>Not Run</x:v>
      </x:c>
      <x:c r="N249" s="33"/>
      <x:c r="O249" s="33"/>
      <x:c r="P249" s="35"/>
      <x:c r="Q249" s="33" t="str"/>
    </x:row>
    <x:row r="250" ht="48" hidden="0" customHeight="1">
      <x:c r="A250" s="28" t="str">
        <x:v>API-245</x:v>
      </x:c>
      <x:c r="B250" s="29" t="str">
        <x:v>Admin Orders</x:v>
      </x:c>
      <x:c r="C250" s="29" t="str">
        <x:v>Collected COD phải xác nhận đã thu tiền</x:v>
      </x:c>
      <x:c r="D250" s="30" t="str">
        <x:v>PATCH</x:v>
      </x:c>
      <x:c r="E250" s="29" t="str">
        <x:v>/api/admin/orders/:id/pickup-status</x:v>
      </x:c>
      <x:c r="F250" s="29" t="str">
        <x:v>Validation</x:v>
      </x:c>
      <x:c r="G250" s="30" t="str">
        <x:v>Critical</x:v>
      </x:c>
      <x:c r="H250" s="29" t="str">
        <x:v>Có JWT admin hợp lệ; dùng dữ liệu test riêng. Pickup READY_FOR_PICKUP, COD Pending.</x:v>
      </x:c>
      <x:c r="I250" s="29" t="str">
        <x:v>{pickupStatus:"COLLECTED",cashReceived:false}</x:v>
      </x:c>
      <x:c r="J250" s="29" t="str">
        <x:v>1. PATCH chưa xác nhận tiền.
2. GET order và kiểm tra trạng thái giữ nguyên.</x:v>
      </x:c>
      <x:c r="K250" s="30" t="n">
        <x:v>400</x:v>
      </x:c>
      <x:c r="L250" s="29" t="str">
        <x:v>PICKUP_CASH_CONFIRMATION_REQUIRED; không thành Delivered/Paid.</x:v>
      </x:c>
      <x:c r="M250" s="30" t="str">
        <x:v>Not Run</x:v>
      </x:c>
      <x:c r="N250" s="29"/>
      <x:c r="O250" s="29"/>
      <x:c r="P250" s="31"/>
      <x:c r="Q250" s="29" t="str"/>
    </x:row>
    <x:row r="251" ht="48" hidden="0" customHeight="1">
      <x:c r="A251" s="32" t="str">
        <x:v>API-246</x:v>
      </x:c>
      <x:c r="B251" s="33" t="str">
        <x:v>Admin Orders</x:v>
      </x:c>
      <x:c r="C251" s="33" t="str">
        <x:v>Collected COD hợp lệ cập nhật Paid/Delivered</x:v>
      </x:c>
      <x:c r="D251" s="34" t="str">
        <x:v>PATCH</x:v>
      </x:c>
      <x:c r="E251" s="33" t="str">
        <x:v>/api/admin/orders/:id/pickup-status</x:v>
      </x:c>
      <x:c r="F251" s="33" t="str">
        <x:v>Business Rule</x:v>
      </x:c>
      <x:c r="G251" s="34" t="str">
        <x:v>Critical</x:v>
      </x:c>
      <x:c r="H251" s="33" t="str">
        <x:v>Có JWT admin hợp lệ; dùng dữ liệu test riêng. Pickup READY_FOR_PICKUP, COD Pending.</x:v>
      </x:c>
      <x:c r="I251" s="33" t="str">
        <x:v>{pickupStatus:"COLLECTED",cashReceived:true}</x:v>
      </x:c>
      <x:c r="J251" s="33" t="str">
        <x:v>1. Chụp stock/usage.
2. PATCH nhận bánh.
3. Kiểm tra trạng thái và các reservation.</x:v>
      </x:c>
      <x:c r="K251" s="34" t="n">
        <x:v>200</x:v>
      </x:c>
      <x:c r="L251" s="33" t="str">
        <x:v>pickupStatus=COLLECTED, Order Delivered, payment Paid; không trừ/hoàn stock hoặc voucher thêm.</x:v>
      </x:c>
      <x:c r="M251" s="30" t="str">
        <x:v>Not Run</x:v>
      </x:c>
      <x:c r="N251" s="33"/>
      <x:c r="O251" s="33"/>
      <x:c r="P251" s="35"/>
      <x:c r="Q251" s="33" t="str"/>
    </x:row>
    <x:row r="252" ht="48" hidden="0" customHeight="1">
      <x:c r="A252" s="28" t="str">
        <x:v>API-247</x:v>
      </x:c>
      <x:c r="B252" s="29" t="str">
        <x:v>Admin Orders</x:v>
      </x:c>
      <x:c r="C252" s="29" t="str">
        <x:v>Không nhảy bước, lùi bước hoặc sửa đơn terminal</x:v>
      </x:c>
      <x:c r="D252" s="30" t="str">
        <x:v>PATCH</x:v>
      </x:c>
      <x:c r="E252" s="29" t="str">
        <x:v>/api/admin/orders/:id/pickup-status</x:v>
      </x:c>
      <x:c r="F252" s="29" t="str">
        <x:v>Business Rule</x:v>
      </x:c>
      <x:c r="G252" s="30" t="str">
        <x:v>Critical</x:v>
      </x:c>
      <x:c r="H252" s="29" t="str">
        <x:v>Có JWT admin hợp lệ; dùng dữ liệu test riêng.</x:v>
      </x:c>
      <x:c r="I252" s="29" t="str">
        <x:v>PREPARING -&gt; COLLECTED; hoặc đơn Cancelled/Failed/Delivered -&gt; READY_FOR_PICKUP.</x:v>
      </x:c>
      <x:c r="J252" s="29" t="str">
        <x:v>1. Seed từng trạng thái độc lập.
2. Gửi chuyển trạng thái không cho phép.
3. So DB trước/sau.</x:v>
      </x:c>
      <x:c r="K252" s="30" t="n">
        <x:v>409</x:v>
      </x:c>
      <x:c r="L252" s="29" t="str">
        <x:v>Không cho chuyển trái quy tắc, không mở lại đơn kết thúc.</x:v>
      </x:c>
      <x:c r="M252" s="30" t="str">
        <x:v>Not Run</x:v>
      </x:c>
      <x:c r="N252" s="29"/>
      <x:c r="O252" s="29"/>
      <x:c r="P252" s="31"/>
      <x:c r="Q252" s="29" t="str"/>
    </x:row>
    <x:row r="253" ht="48" hidden="0" customHeight="1">
      <x:c r="A253" s="32" t="str">
        <x:v>API-248</x:v>
      </x:c>
      <x:c r="B253" s="33" t="str">
        <x:v>Admin Orders</x:v>
      </x:c>
      <x:c r="C253" s="33" t="str">
        <x:v>Không sửa tay giao hàng Lalamove</x:v>
      </x:c>
      <x:c r="D253" s="34" t="str">
        <x:v>PATCH</x:v>
      </x:c>
      <x:c r="E253" s="33" t="str">
        <x:v>/api/admin/orders/:id/pickup-status</x:v>
      </x:c>
      <x:c r="F253" s="33" t="str">
        <x:v>Security</x:v>
      </x:c>
      <x:c r="G253" s="34" t="str">
        <x:v>Critical</x:v>
      </x:c>
      <x:c r="H253" s="33" t="str">
        <x:v>Có JWT admin hợp lệ; dùng dữ liệu test riêng. Có đơn Lalamove.</x:v>
      </x:c>
      <x:c r="I253" s="33" t="str">
        <x:v>{pickupStatus:"READY_FOR_PICKUP"}</x:v>
      </x:c>
      <x:c r="J253" s="33" t="str">
        <x:v>1. Gọi PATCH trực tiếp bằng Postman.
2. GET lại order.</x:v>
      </x:c>
      <x:c r="K253" s="34" t="n">
        <x:v>409</x:v>
      </x:c>
      <x:c r="L253" s="33" t="str">
        <x:v>Backend từ chối, không chỉ ẩn nút UI; trạng thái provider/fulfillment không thay đổi.</x:v>
      </x:c>
      <x:c r="M253" s="30" t="str">
        <x:v>Not Run</x:v>
      </x:c>
      <x:c r="N253" s="33"/>
      <x:c r="O253" s="33"/>
      <x:c r="P253" s="35"/>
      <x:c r="Q253" s="33" t="str"/>
    </x:row>
    <x:row r="254" ht="48" hidden="0" customHeight="1">
      <x:c r="A254" s="28" t="str">
        <x:v>API-249</x:v>
      </x:c>
      <x:c r="B254" s="29" t="str">
        <x:v>Admin Orders</x:v>
      </x:c>
      <x:c r="C254" s="29" t="str">
        <x:v>Không sửa tay giao hàng Express</x:v>
      </x:c>
      <x:c r="D254" s="30" t="str">
        <x:v>PATCH</x:v>
      </x:c>
      <x:c r="E254" s="29" t="str">
        <x:v>/api/admin/orders/:id/pickup-status</x:v>
      </x:c>
      <x:c r="F254" s="29" t="str">
        <x:v>Security</x:v>
      </x:c>
      <x:c r="G254" s="30" t="str">
        <x:v>Critical</x:v>
      </x:c>
      <x:c r="H254" s="29" t="str">
        <x:v>Có JWT admin hợp lệ; dùng dữ liệu test riêng. Có đơn Express.</x:v>
      </x:c>
      <x:c r="I254" s="29" t="str">
        <x:v>{pickupStatus:"READY_FOR_PICKUP"}</x:v>
      </x:c>
      <x:c r="J254" s="29" t="str">
        <x:v>1. Gọi PATCH trực tiếp bằng Postman.
2. GET lại order.</x:v>
      </x:c>
      <x:c r="K254" s="30" t="n">
        <x:v>409</x:v>
      </x:c>
      <x:c r="L254" s="29" t="str">
        <x:v>Backend từ chối, không chỉ ẩn nút UI; trạng thái provider/fulfillment không thay đổi.</x:v>
      </x:c>
      <x:c r="M254" s="30" t="str">
        <x:v>Not Run</x:v>
      </x:c>
      <x:c r="N254" s="29"/>
      <x:c r="O254" s="29"/>
      <x:c r="P254" s="31"/>
      <x:c r="Q254" s="29" t="str"/>
    </x:row>
    <x:row r="255" ht="48" hidden="0" customHeight="1">
      <x:c r="A255" s="32" t="str">
        <x:v>API-250</x:v>
      </x:c>
      <x:c r="B255" s="33" t="str">
        <x:v>Admin Orders</x:v>
      </x:c>
      <x:c r="C255" s="33" t="str">
        <x:v>Pickup online chưa trả không được Ready</x:v>
      </x:c>
      <x:c r="D255" s="34" t="str">
        <x:v>PATCH</x:v>
      </x:c>
      <x:c r="E255" s="33" t="str">
        <x:v>/api/admin/orders/:id/pickup-status</x:v>
      </x:c>
      <x:c r="F255" s="33" t="str">
        <x:v>Business Rule</x:v>
      </x:c>
      <x:c r="G255" s="34" t="str">
        <x:v>Critical</x:v>
      </x:c>
      <x:c r="H255" s="33" t="str">
        <x:v>Có JWT admin hợp lệ; dùng dữ liệu test riêng. Pickup Visa/ZaloPay Pending.</x:v>
      </x:c>
      <x:c r="I255" s="33" t="str">
        <x:v>{pickupStatus:"READY_FOR_PICKUP"}</x:v>
      </x:c>
      <x:c r="J255" s="33" t="str">
        <x:v>1. PATCH Ready khi Pending.
2. Kiểm tra order và không có mail Ready.</x:v>
      </x:c>
      <x:c r="K255" s="34" t="n">
        <x:v>409</x:v>
      </x:c>
      <x:c r="L255" s="33" t="str">
        <x:v>Không tiến trạng thái trước khi backend xác minh Paid.</x:v>
      </x:c>
      <x:c r="M255" s="30" t="str">
        <x:v>Not Run</x:v>
      </x:c>
      <x:c r="N255" s="33"/>
      <x:c r="O255" s="33"/>
      <x:c r="P255" s="35"/>
      <x:c r="Q255" s="33" t="str"/>
    </x:row>
    <x:row r="256" ht="48" hidden="0" customHeight="1">
      <x:c r="A256" s="28" t="str">
        <x:v>API-251</x:v>
      </x:c>
      <x:c r="B256" s="29" t="str">
        <x:v>Admin Orders</x:v>
      </x:c>
      <x:c r="C256" s="29" t="str">
        <x:v>Lặp Ready không gửi mail hai lần</x:v>
      </x:c>
      <x:c r="D256" s="30" t="str">
        <x:v>PATCH</x:v>
      </x:c>
      <x:c r="E256" s="29" t="str">
        <x:v>/api/admin/orders/:id/pickup-status</x:v>
      </x:c>
      <x:c r="F256" s="29" t="str">
        <x:v>Concurrency</x:v>
      </x:c>
      <x:c r="G256" s="30" t="str">
        <x:v>High</x:v>
      </x:c>
      <x:c r="H256" s="29" t="str">
        <x:v>Có JWT admin hợp lệ; dùng dữ liệu test riêng. Pickup Ready; mail đã Sent.</x:v>
      </x:c>
      <x:c r="I256" s="29" t="str">
        <x:v>{pickupStatus:"READY_FOR_PICKUP"} lặp hai lần.</x:v>
      </x:c>
      <x:c r="J256" s="29" t="str">
        <x:v>1. Chụp mail count.
2. PATCH Ready lặp.
3. So mail count/stock/usage.</x:v>
      </x:c>
      <x:c r="K256" s="30" t="n">
        <x:v>200</x:v>
      </x:c>
      <x:c r="L256" s="29" t="str">
        <x:v>Fulfillment idempotent; mail đã Sent không được gửi thêm.</x:v>
      </x:c>
      <x:c r="M256" s="30" t="str">
        <x:v>Not Run</x:v>
      </x:c>
      <x:c r="N256" s="29"/>
      <x:c r="O256" s="29"/>
      <x:c r="P256" s="31"/>
      <x:c r="Q256" s="29" t="str"/>
    </x:row>
    <x:row r="257" ht="54" hidden="0" customHeight="1">
      <x:c r="A257" s="32" t="str">
        <x:v>API-252</x:v>
      </x:c>
      <x:c r="B257" s="33" t="str">
        <x:v>Admin Orders</x:v>
      </x:c>
      <x:c r="C257" s="33" t="str">
        <x:v>SMTP lỗi vẫn giữ Ready và cho retry an toàn</x:v>
      </x:c>
      <x:c r="D257" s="34" t="str">
        <x:v>PATCH</x:v>
      </x:c>
      <x:c r="E257" s="33" t="str">
        <x:v>/api/admin/orders/:id/pickup-status</x:v>
      </x:c>
      <x:c r="F257" s="33" t="str">
        <x:v>Integration</x:v>
      </x:c>
      <x:c r="G257" s="34" t="str">
        <x:v>High</x:v>
      </x:c>
      <x:c r="H257" s="33" t="str">
        <x:v>Có JWT admin hợp lệ; dùng dữ liệu test riêng. SMTP fixture lỗi lần đầu rồi thành công.</x:v>
      </x:c>
      <x:c r="I257" s="33" t="str">
        <x:v>{pickupStatus:"READY_FOR_PICKUP"}</x:v>
      </x:c>
      <x:c r="J257" s="33" t="str">
        <x:v>1. Mock SMTP fail và PATCH Ready.
2. Đọc notification.
3. Cho SMTP thành công rồi PATCH cùng status.</x:v>
      </x:c>
      <x:c r="K257" s="34" t="n">
        <x:v>200</x:v>
      </x:c>
      <x:c r="L257" s="33" t="str">
        <x:v>Lần đầu Ready kèm notification Failed/canRetry; retry gửi mail thành công, không đổi stock/fulfillment lần nữa.</x:v>
      </x:c>
      <x:c r="M257" s="30" t="str">
        <x:v>Not Run</x:v>
      </x:c>
      <x:c r="N257" s="33"/>
      <x:c r="O257" s="33"/>
      <x:c r="P257" s="35"/>
      <x:c r="Q257" s="33" t="str"/>
    </x:row>
    <x:row r="258" ht="54" hidden="0" customHeight="1">
      <x:c r="A258" s="28" t="str">
        <x:v>API-253</x:v>
      </x:c>
      <x:c r="B258" s="29" t="str">
        <x:v>Special Order</x:v>
      </x:c>
      <x:c r="C258" s="29" t="str">
        <x:v>SMTP lỗi không làm mất yêu cầu đã lưu</x:v>
      </x:c>
      <x:c r="D258" s="30" t="str">
        <x:v>POST</x:v>
      </x:c>
      <x:c r="E258" s="29" t="str">
        <x:v>/api/special-orders</x:v>
      </x:c>
      <x:c r="F258" s="29" t="str">
        <x:v>Integration</x:v>
      </x:c>
      <x:c r="G258" s="30" t="str">
        <x:v>High</x:v>
      </x:c>
      <x:c r="H258" s="29" t="str">
        <x:v>SMTP test được mock từ chối; payload pickup hợp lệ.</x:v>
      </x:c>
      <x:c r="I258" s="29" t="str">
        <x:v>Tên/email/phone/deliveryOption=pickup/orderDetails.</x:v>
      </x:c>
      <x:c r="J258" s="29" t="str">
        <x:v>1. Mock SMTP fail.
2. POST request.
3. Admin đọc lại bằng request ID và kiểm tra emailStatus.</x:v>
      </x:c>
      <x:c r="K258" s="30" t="n">
        <x:v>201</x:v>
      </x:c>
      <x:c r="L258" s="29" t="str">
        <x:v>SpecialOrder vẫn được lưu; emailStatus phản ánh thất bại, không báo mail đã gửi giả.</x:v>
      </x:c>
      <x:c r="M258" s="30" t="str">
        <x:v>Not Run</x:v>
      </x:c>
      <x:c r="N258" s="29"/>
      <x:c r="O258" s="29"/>
      <x:c r="P258" s="31"/>
      <x:c r="Q258" s="29" t="str"/>
    </x:row>
    <x:row r="259" ht="54" hidden="0" customHeight="1">
      <x:c r="A259" s="32" t="str">
        <x:v>API-254</x:v>
      </x:c>
      <x:c r="B259" s="33" t="str">
        <x:v>Contact</x:v>
      </x:c>
      <x:c r="C259" s="33" t="str">
        <x:v>SMTP lỗi không làm mất contact đã nhận</x:v>
      </x:c>
      <x:c r="D259" s="34" t="str">
        <x:v>POST</x:v>
      </x:c>
      <x:c r="E259" s="33" t="str">
        <x:v>/api/contact</x:v>
      </x:c>
      <x:c r="F259" s="33" t="str">
        <x:v>Integration</x:v>
      </x:c>
      <x:c r="G259" s="34" t="str">
        <x:v>High</x:v>
      </x:c>
      <x:c r="H259" s="33" t="str">
        <x:v>SMTP test từ chối; dùng email test.</x:v>
      </x:c>
      <x:c r="I259" s="33" t="str">
        <x:v>{name:"QA",email:"qa@example.test",message:"Need help"}</x:v>
      </x:c>
      <x:c r="J259" s="33" t="str">
        <x:v>1. Mock SMTP fail.
2. POST contact.
3. GET ticket bằng admin và kiểm tra emailStatus.</x:v>
      </x:c>
      <x:c r="K259" s="34" t="n">
        <x:v>201</x:v>
      </x:c>
      <x:c r="L259" s="33" t="str">
        <x:v>Contact vẫn tồn tại; phản ánh trạng thái gửi mail đúng; không tạo ticket trùng để retry email.</x:v>
      </x:c>
      <x:c r="M259" s="30" t="str">
        <x:v>Not Run</x:v>
      </x:c>
      <x:c r="N259" s="33"/>
      <x:c r="O259" s="33"/>
      <x:c r="P259" s="35"/>
      <x:c r="Q259" s="33" t="str"/>
    </x:row>
    <x:row r="260" ht="48" hidden="0" customHeight="1">
      <x:c r="A260" s="28" t="str">
        <x:v>API-255</x:v>
      </x:c>
      <x:c r="B260" s="29" t="str">
        <x:v>Profile</x:v>
      </x:c>
      <x:c r="C260" s="29" t="str">
        <x:v>API danh sách đơn trong profile chỉ trả đơn của user</x:v>
      </x:c>
      <x:c r="D260" s="30" t="str">
        <x:v>GET</x:v>
      </x:c>
      <x:c r="E260" s="29" t="str">
        <x:v>/api/users/me/orders</x:v>
      </x:c>
      <x:c r="F260" s="29" t="str">
        <x:v>Security</x:v>
      </x:c>
      <x:c r="G260" s="30" t="str">
        <x:v>High</x:v>
      </x:c>
      <x:c r="H260" s="29" t="str">
        <x:v>Có JWT customer active; dùng dữ liệu test riêng. Hai customer có đơn khác nhau.</x:v>
      </x:c>
      <x:c r="I260" s="29" t="str">
        <x:v>Token A; query limit theo endpoint hỗ trợ.</x:v>
      </x:c>
      <x:c r="J260" s="29" t="str">
        <x:v>1. Seed đơn A/B.
2. Gọi /me/orders bằng A.
3. Đối chiếu user sở hữu từng đơn.</x:v>
      </x:c>
      <x:c r="K260" s="30" t="n">
        <x:v>200</x:v>
      </x:c>
      <x:c r="L260" s="29" t="str">
        <x:v>Không trả đơn của B; dữ liệu snapshot và thứ tự theo API đúng.</x:v>
      </x:c>
      <x:c r="M260" s="30" t="str">
        <x:v>Not Run</x:v>
      </x:c>
      <x:c r="N260" s="29"/>
      <x:c r="O260" s="29"/>
      <x:c r="P260" s="31"/>
      <x:c r="Q260" s="29" t="str"/>
    </x:row>
    <x:row r="261" ht="48" hidden="0" customHeight="1">
      <x:c r="A261" s="32" t="str">
        <x:v>API-256</x:v>
      </x:c>
      <x:c r="B261" s="33" t="str">
        <x:v>Order</x:v>
      </x:c>
      <x:c r="C261" s="33" t="str">
        <x:v>Lấy các phương thức giao nhận từ cấu hình backend</x:v>
      </x:c>
      <x:c r="D261" s="34" t="str">
        <x:v>GET</x:v>
      </x:c>
      <x:c r="E261" s="33" t="str">
        <x:v>/api/orders/delivery-methods</x:v>
      </x:c>
      <x:c r="F261" s="33" t="str">
        <x:v>Configuration</x:v>
      </x:c>
      <x:c r="G261" s="34" t="str">
        <x:v>High</x:v>
      </x:c>
      <x:c r="H261" s="33" t="str">
        <x:v>Có JWT customer active; dùng dữ liệu test riêng.</x:v>
      </x:c>
      <x:c r="I261" s="33" t="str">
        <x:v>Không có; chạy fixture Lalamove bật và tắt riêng.</x:v>
      </x:c>
      <x:c r="J261" s="33" t="str">
        <x:v>1. Gọi khi provider enabled.
2. Gọi trong fixture disabled.
3. So tính khả dụng và phí.</x:v>
      </x:c>
      <x:c r="K261" s="34" t="n">
        <x:v>200</x:v>
      </x:c>
      <x:c r="L261" s="33" t="str">
        <x:v>Có pickup/express/standard theo cấu hình; pickup phí 0, standard phản ánh khả dụng báo giá, không lộ key.</x:v>
      </x:c>
      <x:c r="M261" s="30" t="str">
        <x:v>Not Run</x:v>
      </x:c>
      <x:c r="N261" s="33"/>
      <x:c r="O261" s="33"/>
      <x:c r="P261" s="35"/>
      <x:c r="Q261" s="33" t="str"/>
    </x:row>
    <x:row r="262" ht="54" hidden="0" customHeight="1">
      <x:c r="A262" s="28" t="str">
        <x:v>API-257</x:v>
      </x:c>
      <x:c r="B262" s="29" t="str">
        <x:v>Order</x:v>
      </x:c>
      <x:c r="C262" s="29" t="str">
        <x:v>Tìm lịch sử đơn theo tên sản phẩm hoặc mã đơn</x:v>
      </x:c>
      <x:c r="D262" s="30" t="str">
        <x:v>GET</x:v>
      </x:c>
      <x:c r="E262" s="29" t="str">
        <x:v>/api/orders/my?search=Berry&amp;page=1&amp;limit=2</x:v>
      </x:c>
      <x:c r="F262" s="29" t="str">
        <x:v>Positive</x:v>
      </x:c>
      <x:c r="G262" s="30" t="str">
        <x:v>High</x:v>
      </x:c>
      <x:c r="H262" s="29" t="str">
        <x:v>Có JWT customer active; dùng dữ liệu test riêng. Có nhiều đơn, tên item và mã khác nhau.</x:v>
      </x:c>
      <x:c r="I262" s="29" t="str">
        <x:v>search=Berry; page=1; limit=2.</x:v>
      </x:c>
      <x:c r="J262" s="29" t="str">
        <x:v>1. Seed các đơn khớp/không khớp và đơn người khác.
2. Gọi query tìm kiếm.
3. So ID và total.</x:v>
      </x:c>
      <x:c r="K262" s="30" t="n">
        <x:v>200</x:v>
      </x:c>
      <x:c r="L262" s="29" t="str">
        <x:v>Chỉ đơn của user khớp search; pagination/count theo tập tìm kiếm.</x:v>
      </x:c>
      <x:c r="M262" s="30" t="str">
        <x:v>Not Run</x:v>
      </x:c>
      <x:c r="N262" s="29"/>
      <x:c r="O262" s="29"/>
      <x:c r="P262" s="31"/>
      <x:c r="Q262" s="29" t="str"/>
    </x:row>
    <x:row r="263" ht="48" hidden="0" customHeight="1">
      <x:c r="A263" s="32" t="str">
        <x:v>API-258</x:v>
      </x:c>
      <x:c r="B263" s="33" t="str">
        <x:v>Order</x:v>
      </x:c>
      <x:c r="C263" s="33" t="str">
        <x:v>Xem chi tiết order sở hữu giữ giá snapshot</x:v>
      </x:c>
      <x:c r="D263" s="34" t="str">
        <x:v>GET</x:v>
      </x:c>
      <x:c r="E263" s="33" t="str">
        <x:v>/api/orders/:id</x:v>
      </x:c>
      <x:c r="F263" s="33" t="str">
        <x:v>Regression</x:v>
      </x:c>
      <x:c r="G263" s="34" t="str">
        <x:v>High</x:v>
      </x:c>
      <x:c r="H263" s="33" t="str">
        <x:v>Có JWT customer active; dùng dữ liệu test riêng. Order cũ có discount; giá catalog vừa thay.</x:v>
      </x:c>
      <x:c r="I263" s="33" t="str">
        <x:v>Order ID của chính user.</x:v>
      </x:c>
      <x:c r="J263" s="33" t="str">
        <x:v>1. Lưu snapshot order.
2. Đổi giá catalog trong fixture.
3. GET order và so tiền.</x:v>
      </x:c>
      <x:c r="K263" s="34" t="n">
        <x:v>200</x:v>
      </x:c>
      <x:c r="L263" s="33" t="str">
        <x:v>Trả item/giá/quantity/discount/fee/total đã lưu khi mua, không tính lại theo giá catalog mới.</x:v>
      </x:c>
      <x:c r="M263" s="30" t="str">
        <x:v>Not Run</x:v>
      </x:c>
      <x:c r="N263" s="33"/>
      <x:c r="O263" s="33"/>
      <x:c r="P263" s="35"/>
      <x:c r="Q263" s="33" t="str"/>
    </x:row>
    <x:row r="264" ht="48" hidden="0" customHeight="1">
      <x:c r="A264" s="28" t="str">
        <x:v>API-259</x:v>
      </x:c>
      <x:c r="B264" s="29" t="str">
        <x:v>Lalamove</x:v>
      </x:c>
      <x:c r="C264" s="29" t="str">
        <x:v>Admin lấy danh sách city, customer bị chặn</x:v>
      </x:c>
      <x:c r="D264" s="30" t="str">
        <x:v>GET</x:v>
      </x:c>
      <x:c r="E264" s="29" t="str">
        <x:v>/api/shipping/lalamove/cities</x:v>
      </x:c>
      <x:c r="F264" s="29" t="str">
        <x:v>Security</x:v>
      </x:c>
      <x:c r="G264" s="30" t="str">
        <x:v>High</x:v>
      </x:c>
      <x:c r="H264" s="29" t="str">
        <x:v>Mock cities sandbox; có admin và customer token.</x:v>
      </x:c>
      <x:c r="I264" s="29" t="str">
        <x:v>Cùng endpoint, hai loại JWT.</x:v>
      </x:c>
      <x:c r="J264" s="29" t="str">
        <x:v>1. Gọi với customer.
2. Gọi lại với admin.
3. So quyền và dữ liệu provider.</x:v>
      </x:c>
      <x:c r="K264" s="30" t="str">
        <x:v>200 (admin); 403 (customer)</x:v>
      </x:c>
      <x:c r="L264" s="29" t="str">
        <x:v>Admin nhận dữ liệu cities provider; customer không được gọi API quản trị hoặc lộ khoá.</x:v>
      </x:c>
      <x:c r="M264" s="30" t="str">
        <x:v>Not Run</x:v>
      </x:c>
      <x:c r="N264" s="29"/>
      <x:c r="O264" s="29"/>
      <x:c r="P264" s="31"/>
      <x:c r="Q264" s="29" t="str"/>
    </x:row>
    <x:row r="265" ht="54" hidden="0" customHeight="1">
      <x:c r="A265" s="32" t="str">
        <x:v>API-260</x:v>
      </x:c>
      <x:c r="B265" s="33" t="str">
        <x:v>Lalamove</x:v>
      </x:c>
      <x:c r="C265" s="33" t="str">
        <x:v>Quotation route tương thích lưu quote đúng owner</x:v>
      </x:c>
      <x:c r="D265" s="34" t="str">
        <x:v>POST</x:v>
      </x:c>
      <x:c r="E265" s="33" t="str">
        <x:v>/api/shipping/lalamove/quotes</x:v>
      </x:c>
      <x:c r="F265" s="33" t="str">
        <x:v>Integration</x:v>
      </x:c>
      <x:c r="G265" s="34" t="str">
        <x:v>High</x:v>
      </x:c>
      <x:c r="H265" s="33" t="str">
        <x:v>Có JWT customer active; dùng dữ liệu test riêng. Fixture backend có shippingAddress kèm coordinates nội bộ hợp lệ.</x:v>
      </x:c>
      <x:c r="I265" s="33" t="str">
        <x:v>shippingAddress fixture recipient/phone/address/coordinates; mock quotation COD.</x:v>
      </x:c>
      <x:c r="J265" s="33" t="str">
        <x:v>1. Dùng address fixture backend, không nhập GPS trên UI.
2. POST quote.
3. Đối chiếu owner và fee trong DB.</x:v>
      </x:c>
      <x:c r="K265" s="34" t="n">
        <x:v>201</x:v>
      </x:c>
      <x:c r="L265" s="33" t="str">
        <x:v>Lưu quote gắn user đang xác thực, cashOnDelivery=true; trả id/fee/currency/expiresAt.</x:v>
      </x:c>
      <x:c r="M265" s="30" t="str">
        <x:v>Not Run</x:v>
      </x:c>
      <x:c r="N265" s="33"/>
      <x:c r="O265" s="33"/>
      <x:c r="P265" s="35"/>
      <x:c r="Q265" s="33" t="str">
        <x:v>Route tương thích/API kiểm thử; checkout khách dùng /api/delivery/quote chỉ gửi địa chỉ.</x:v>
      </x:c>
    </x:row>
    <x:row r="266" ht="48" hidden="0" customHeight="1">
      <x:c r="A266" s="28" t="str">
        <x:v>API-261</x:v>
      </x:c>
      <x:c r="B266" s="29" t="str">
        <x:v>Admin Orders</x:v>
      </x:c>
      <x:c r="C266" s="29" t="str">
        <x:v>Customer và anonymous không truy cập API order admin</x:v>
      </x:c>
      <x:c r="D266" s="30" t="str">
        <x:v>GET</x:v>
      </x:c>
      <x:c r="E266" s="29" t="str">
        <x:v>/api/admin/orders</x:v>
      </x:c>
      <x:c r="F266" s="29" t="str">
        <x:v>Security</x:v>
      </x:c>
      <x:c r="G266" s="30" t="str">
        <x:v>Critical</x:v>
      </x:c>
      <x:c r="H266" s="29" t="str">
        <x:v>Có một customer token và request không token.</x:v>
      </x:c>
      <x:c r="I266" s="29" t="str">
        <x:v>Thử list/detail/pickup-status/shipping-refresh bằng hai loại request.</x:v>
      </x:c>
      <x:c r="J266" s="29" t="str">
        <x:v>1. Gọi từng route không token.
2. Gọi lại bằng customer.
3. Kiểm tra dữ liệu Order không đổi.</x:v>
      </x:c>
      <x:c r="K266" s="30" t="str">
        <x:v>401 (không token); 403 (customer)</x:v>
      </x:c>
      <x:c r="L266" s="29" t="str">
        <x:v>Server chặn mọi route quản trị; không đọc order hoặc thay fulfillment.</x:v>
      </x:c>
      <x:c r="M266" s="30" t="str">
        <x:v>Not Run</x:v>
      </x:c>
      <x:c r="N266" s="29"/>
      <x:c r="O266" s="29"/>
      <x:c r="P266" s="31"/>
      <x:c r="Q266" s="29" t="str"/>
    </x:row>
    <x:row r="267" ht="48" hidden="0" customHeight="1">
      <x:c r="A267" s="32" t="str">
        <x:v>API-262</x:v>
      </x:c>
      <x:c r="B267" s="33" t="str">
        <x:v>Admin Orders</x:v>
      </x:c>
      <x:c r="C267" s="33" t="str">
        <x:v>Admin xem detail một đơn bất kỳ</x:v>
      </x:c>
      <x:c r="D267" s="34" t="str">
        <x:v>GET</x:v>
      </x:c>
      <x:c r="E267" s="33" t="str">
        <x:v>/api/admin/orders/:id</x:v>
      </x:c>
      <x:c r="F267" s="33" t="str">
        <x:v>Positive</x:v>
      </x:c>
      <x:c r="G267" s="34" t="str">
        <x:v>High</x:v>
      </x:c>
      <x:c r="H267" s="33" t="str">
        <x:v>Có JWT admin hợp lệ; dùng dữ liệu test riêng. Có đơn của customer.</x:v>
      </x:c>
      <x:c r="I267" s="33" t="str">
        <x:v>Order ID hợp lệ; thử riêng ID không tồn tại.</x:v>
      </x:c>
      <x:c r="J267" s="33" t="str">
        <x:v>1. GET đơn thật.
2. So thông tin với DB.
3. GET ID không có trong fixture.</x:v>
      </x:c>
      <x:c r="K267" s="34" t="str">
        <x:v>200 / 404</x:v>
      </x:c>
      <x:c r="L267" s="33" t="str">
        <x:v>Đơn có thật trả snapshot, recipient, payment và action hợp lệ; ID không tồn tại trả 404.</x:v>
      </x:c>
      <x:c r="M267" s="30" t="str">
        <x:v>Not Run</x:v>
      </x:c>
      <x:c r="N267" s="33"/>
      <x:c r="O267" s="33"/>
      <x:c r="P267" s="35"/>
      <x:c r="Q267" s="33" t="str"/>
    </x:row>
    <x:row r="268" ht="54" hidden="0" customHeight="1">
      <x:c r="A268" s="28" t="str">
        <x:v>API-263</x:v>
      </x:c>
      <x:c r="B268" s="29" t="str">
        <x:v>Admin Orders</x:v>
      </x:c>
      <x:c r="C268" s="29" t="str">
        <x:v>Refresh delivery admin chỉ đọc booking, không đặt chuyến mới</x:v>
      </x:c>
      <x:c r="D268" s="30" t="str">
        <x:v>POST</x:v>
      </x:c>
      <x:c r="E268" s="29" t="str">
        <x:v>/api/admin/orders/:id/shipping/refresh</x:v>
      </x:c>
      <x:c r="F268" s="29" t="str">
        <x:v>Integration</x:v>
      </x:c>
      <x:c r="G268" s="30" t="str">
        <x:v>Critical</x:v>
      </x:c>
      <x:c r="H268" s="29" t="str">
        <x:v>Có JWT admin hợp lệ; dùng dữ liệu test riêng. Có đơn Lalamove đã có booking.</x:v>
      </x:c>
      <x:c r="I268" s="29" t="str">
        <x:v>orderId; mock provider trả status mới.</x:v>
      </x:c>
      <x:c r="J268" s="29" t="str">
        <x:v>1. Chụp booking count và payment.
2. Refresh bằng admin.
3. Kiểm tra status mới và số create không đổi.</x:v>
      </x:c>
      <x:c r="K268" s="30" t="n">
        <x:v>200</x:v>
      </x:c>
      <x:c r="L268" s="29" t="str">
        <x:v>Đọc/đồng bộ booking hiện có; không gọi tạo booking hoặc thay amount/payment.</x:v>
      </x:c>
      <x:c r="M268" s="30" t="str">
        <x:v>Not Run</x:v>
      </x:c>
      <x:c r="N268" s="29"/>
      <x:c r="O268" s="29"/>
      <x:c r="P268" s="31"/>
      <x:c r="Q268" s="29" t="str"/>
    </x:row>
    <x:row r="269" ht="48" hidden="0" customHeight="1">
      <x:c r="A269" s="32" t="str">
        <x:v>API-264</x:v>
      </x:c>
      <x:c r="B269" s="33" t="str">
        <x:v>Voucher</x:v>
      </x:c>
      <x:c r="C269" s="33" t="str">
        <x:v>Admin list có trạng thái hiệu lực và không hiện mã đã xoá</x:v>
      </x:c>
      <x:c r="D269" s="34" t="str">
        <x:v>GET</x:v>
      </x:c>
      <x:c r="E269" s="33" t="str">
        <x:v>/api/vouchers</x:v>
      </x:c>
      <x:c r="F269" s="33" t="str">
        <x:v>Positive</x:v>
      </x:c>
      <x:c r="G269" s="34" t="str">
        <x:v>High</x:v>
      </x:c>
      <x:c r="H269" s="33" t="str">
        <x:v>Có JWT admin hợp lệ; dùng dữ liệu test riêng. Có mã active, upcoming, expired và archived.</x:v>
      </x:c>
      <x:c r="I269" s="33" t="str">
        <x:v>Không có.</x:v>
      </x:c>
      <x:c r="J269" s="33" t="str">
        <x:v>1. Seed các trạng thái.
2. GET list.
3. So IDs và trường hiệu lực.</x:v>
      </x:c>
      <x:c r="K269" s="34" t="n">
        <x:v>200</x:v>
      </x:c>
      <x:c r="L269" s="33" t="str">
        <x:v>Không trả mã archived; ngày dùng/expiry/usage/status của mã còn tồn tại khớp DB.</x:v>
      </x:c>
      <x:c r="M269" s="30" t="str">
        <x:v>Not Run</x:v>
      </x:c>
      <x:c r="N269" s="33"/>
      <x:c r="O269" s="33"/>
      <x:c r="P269" s="35"/>
      <x:c r="Q269" s="33" t="str"/>
    </x:row>
    <x:row r="270" ht="48" hidden="0" customHeight="1">
      <x:c r="A270" s="28" t="str">
        <x:v>API-265</x:v>
      </x:c>
      <x:c r="B270" s="29" t="str">
        <x:v>Voucher</x:v>
      </x:c>
      <x:c r="C270" s="29" t="str">
        <x:v>Tạo mã sai: phần trăm vượt 100</x:v>
      </x:c>
      <x:c r="D270" s="30" t="str">
        <x:v>POST</x:v>
      </x:c>
      <x:c r="E270" s="29" t="str">
        <x:v>/api/vouchers</x:v>
      </x:c>
      <x:c r="F270" s="29" t="str">
        <x:v>Validation</x:v>
      </x:c>
      <x:c r="G270" s="30" t="str">
        <x:v>High</x:v>
      </x:c>
      <x:c r="H270" s="29" t="str">
        <x:v>Có JWT admin hợp lệ; dùng dữ liệu test riêng. Recipient và ngày dùng hợp lệ.</x:v>
      </x:c>
      <x:c r="I270" s="29" t="str">
        <x:v>type=percent; value=101.</x:v>
      </x:c>
      <x:c r="J270" s="29" t="str">
        <x:v>1. Gửi payload sai kiểu/giá trị giảm.
2. Kiểm tra lỗi và không tăng sở hữu.</x:v>
      </x:c>
      <x:c r="K270" s="30" t="n">
        <x:v>400</x:v>
      </x:c>
      <x:c r="L270" s="29" t="str">
        <x:v>Không tạo hoặc cấp voucher với cấu hình giảm giá không hợp lệ.</x:v>
      </x:c>
      <x:c r="M270" s="30" t="str">
        <x:v>Not Run</x:v>
      </x:c>
      <x:c r="N270" s="29"/>
      <x:c r="O270" s="29"/>
      <x:c r="P270" s="31"/>
      <x:c r="Q270" s="29" t="str"/>
    </x:row>
    <x:row r="271" ht="48" hidden="0" customHeight="1">
      <x:c r="A271" s="32" t="str">
        <x:v>API-266</x:v>
      </x:c>
      <x:c r="B271" s="33" t="str">
        <x:v>Voucher</x:v>
      </x:c>
      <x:c r="C271" s="33" t="str">
        <x:v>Tạo mã sai: VND lẻ</x:v>
      </x:c>
      <x:c r="D271" s="34" t="str">
        <x:v>POST</x:v>
      </x:c>
      <x:c r="E271" s="33" t="str">
        <x:v>/api/vouchers</x:v>
      </x:c>
      <x:c r="F271" s="33" t="str">
        <x:v>Validation</x:v>
      </x:c>
      <x:c r="G271" s="34" t="str">
        <x:v>High</x:v>
      </x:c>
      <x:c r="H271" s="33" t="str">
        <x:v>Có JWT admin hợp lệ; dùng dữ liệu test riêng. Recipient và ngày dùng hợp lệ.</x:v>
      </x:c>
      <x:c r="I271" s="33" t="str">
        <x:v>type=fixed; value=100.5.</x:v>
      </x:c>
      <x:c r="J271" s="33" t="str">
        <x:v>1. Gửi payload sai kiểu/giá trị giảm.
2. Kiểm tra lỗi và không tăng sở hữu.</x:v>
      </x:c>
      <x:c r="K271" s="34" t="n">
        <x:v>400</x:v>
      </x:c>
      <x:c r="L271" s="33" t="str">
        <x:v>Không tạo hoặc cấp voucher với cấu hình giảm giá không hợp lệ.</x:v>
      </x:c>
      <x:c r="M271" s="30" t="str">
        <x:v>Not Run</x:v>
      </x:c>
      <x:c r="N271" s="33"/>
      <x:c r="O271" s="33"/>
      <x:c r="P271" s="35"/>
      <x:c r="Q271" s="33" t="str"/>
    </x:row>
    <x:row r="272" ht="48" hidden="0" customHeight="1">
      <x:c r="A272" s="28" t="str">
        <x:v>API-267</x:v>
      </x:c>
      <x:c r="B272" s="29" t="str">
        <x:v>Voucher</x:v>
      </x:c>
      <x:c r="C272" s="29" t="str">
        <x:v>Tạo mã sai: giá trị giảm bằng 0</x:v>
      </x:c>
      <x:c r="D272" s="30" t="str">
        <x:v>POST</x:v>
      </x:c>
      <x:c r="E272" s="29" t="str">
        <x:v>/api/vouchers</x:v>
      </x:c>
      <x:c r="F272" s="29" t="str">
        <x:v>Validation</x:v>
      </x:c>
      <x:c r="G272" s="30" t="str">
        <x:v>High</x:v>
      </x:c>
      <x:c r="H272" s="29" t="str">
        <x:v>Có JWT admin hợp lệ; dùng dữ liệu test riêng. Recipient và ngày dùng hợp lệ.</x:v>
      </x:c>
      <x:c r="I272" s="29" t="str">
        <x:v>type=percent; value=0.</x:v>
      </x:c>
      <x:c r="J272" s="29" t="str">
        <x:v>1. Gửi payload sai kiểu/giá trị giảm.
2. Kiểm tra lỗi và không tăng sở hữu.</x:v>
      </x:c>
      <x:c r="K272" s="30" t="n">
        <x:v>400</x:v>
      </x:c>
      <x:c r="L272" s="29" t="str">
        <x:v>Không tạo hoặc cấp voucher với cấu hình giảm giá không hợp lệ.</x:v>
      </x:c>
      <x:c r="M272" s="30" t="str">
        <x:v>Not Run</x:v>
      </x:c>
      <x:c r="N272" s="29"/>
      <x:c r="O272" s="29"/>
      <x:c r="P272" s="31"/>
      <x:c r="Q272" s="29" t="str"/>
    </x:row>
    <x:row r="273" ht="48" hidden="0" customHeight="1">
      <x:c r="A273" s="32" t="str">
        <x:v>API-268</x:v>
      </x:c>
      <x:c r="B273" s="33" t="str">
        <x:v>Chat AI</x:v>
      </x:c>
      <x:c r="C273" s="33" t="str">
        <x:v>Giới hạn request theo user và có Retry-After</x:v>
      </x:c>
      <x:c r="D273" s="34" t="str">
        <x:v>POST</x:v>
      </x:c>
      <x:c r="E273" s="33" t="str">
        <x:v>/api/chatbox/message</x:v>
      </x:c>
      <x:c r="F273" s="33" t="str">
        <x:v>Boundary</x:v>
      </x:c>
      <x:c r="G273" s="34" t="str">
        <x:v>High</x:v>
      </x:c>
      <x:c r="H273" s="33" t="str">
        <x:v>Fixture cấu hình CHATBOX_RATE_LIMIT_PER_MINUTE=2; có token A/B và mock AI.</x:v>
      </x:c>
      <x:c r="I273" s="33" t="str">
        <x:v>A gửi ba request trong 60 giây; B gửi một request.</x:v>
      </x:c>
      <x:c r="J273" s="33" t="str">
        <x:v>1. Gửi đủ hai request A.
2. Gửi lần ba và kiểm tra header.
3. Gửi B rồi đẩy clock qua cửa sổ.</x:v>
      </x:c>
      <x:c r="K273" s="34" t="str">
        <x:v>429 cho request A vượt ngưỡng; 200 cho B</x:v>
      </x:c>
      <x:c r="L273" s="33" t="str">
        <x:v>CHAT_RATE_LIMITED và Retry-After hợp lệ; quota của A không khoá user B; qua cửa sổ cho thử lại.</x:v>
      </x:c>
      <x:c r="M273" s="30" t="str">
        <x:v>Not Run</x:v>
      </x:c>
      <x:c r="N273" s="33"/>
      <x:c r="O273" s="33"/>
      <x:c r="P273" s="35"/>
      <x:c r="Q273" s="33" t="str"/>
    </x:row>
    <x:row r="274" ht="48" hidden="0" customHeight="1">
      <x:c r="A274" s="28" t="str">
        <x:v>API-269</x:v>
      </x:c>
      <x:c r="B274" s="29" t="str">
        <x:v>Special Order</x:v>
      </x:c>
      <x:c r="C274" s="29" t="str">
        <x:v>Admin xem chi tiết request, không phải Order mua hàng</x:v>
      </x:c>
      <x:c r="D274" s="30" t="str">
        <x:v>GET</x:v>
      </x:c>
      <x:c r="E274" s="29" t="str">
        <x:v>/api/special-orders/:id</x:v>
      </x:c>
      <x:c r="F274" s="29" t="str">
        <x:v>Positive</x:v>
      </x:c>
      <x:c r="G274" s="30" t="str">
        <x:v>High</x:v>
      </x:c>
      <x:c r="H274" s="29" t="str">
        <x:v>Có JWT admin hợp lệ; dùng dữ liệu test riêng. Có SpecialOrder test vừa gửi.</x:v>
      </x:c>
      <x:c r="I274" s="29" t="str">
        <x:v>SpecialOrder ID; thử thêm ID không tồn tại.</x:v>
      </x:c>
      <x:c r="J274" s="29" t="str">
        <x:v>1. GET request thật.
2. So với form đã gửi và số Order.
3. GET ID không tồn tại.</x:v>
      </x:c>
      <x:c r="K274" s="30" t="str">
        <x:v>200 / 404</x:v>
      </x:c>
      <x:c r="L274" s="29" t="str">
        <x:v>Đúng requestNumber/nội dung/trạng thái; không tự tạo Order hay booking; thiếu request trả 404.</x:v>
      </x:c>
      <x:c r="M274" s="30" t="str">
        <x:v>Not Run</x:v>
      </x:c>
      <x:c r="N274" s="29"/>
      <x:c r="O274" s="29"/>
      <x:c r="P274" s="31"/>
      <x:c r="Q274" s="29" t="str"/>
    </x:row>
  </x:sheetData>
  <x:conditionalFormatting sqref="M6:M103">
    <x:cfRule type="containsText" dxfId="13" priority="1" operator="containsText" text="Passed"/>
    <x:cfRule type="containsText" dxfId="12" priority="2" operator="containsText" text="Failed"/>
    <x:cfRule type="containsText" dxfId="11" priority="3" operator="containsText" text="Blocked"/>
    <x:cfRule type="containsText" dxfId="10" priority="4" operator="containsText" text="In Progress"/>
    <x:cfRule type="containsText" dxfId="9" priority="5" operator="containsText" text="Not Run"/>
  </x:conditionalFormatting>
  <x:conditionalFormatting sqref="G6:G103">
    <x:cfRule type="containsText" dxfId="8" priority="6" operator="containsText" text="Critical"/>
    <x:cfRule type="containsText" dxfId="7" priority="7" operator="containsText" text="High"/>
  </x:conditionalFormatting>
  <x:conditionalFormatting sqref="M104:M274">
    <x:cfRule type="expression" dxfId="17" priority="8">
      <x:formula>$M104="Passed"</x:formula>
    </x:cfRule>
    <x:cfRule type="expression" dxfId="18" priority="9">
      <x:formula>$M104="Failed"</x:formula>
    </x:cfRule>
    <x:cfRule type="expression" dxfId="19" priority="10">
      <x:formula>$M104="Blocked"</x:formula>
    </x:cfRule>
    <x:cfRule type="expression" dxfId="20" priority="11">
      <x:formula>$M104="In Progress"</x:formula>
    </x:cfRule>
    <x:cfRule type="expression" dxfId="21" priority="12">
      <x:formula>$M104="Not Run"</x:formula>
    </x:cfRule>
  </x:conditionalFormatting>
  <x:conditionalFormatting sqref="G104:G274">
    <x:cfRule type="expression" dxfId="22" priority="13">
      <x:formula>$G104="Critical"</x:formula>
    </x:cfRule>
    <x:cfRule type="expression" dxfId="23" priority="14">
      <x:formula>$G104="High"</x:formula>
    </x:cfRule>
  </x:conditionalFormatting>
  <x:dataValidations count="4">
    <x:dataValidation type="list" sqref="M6:M103">
      <x:formula1>"Not Run,In Progress,Passed,Failed,Blocked,N/A"</x:formula1>
    </x:dataValidation>
    <x:dataValidation type="list" sqref="G6:G103">
      <x:formula1>"Critical,High,Medium,Low"</x:formula1>
    </x:dataValidation>
    <x:dataValidation type="list" sqref="M104:M274">
      <x:formula1>"Not Run,In Progress,Passed,Failed,Blocked,N/A"</x:formula1>
    </x:dataValidation>
    <x:dataValidation type="list" sqref="G104:G274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ec302208cf43d2"/>
  </x:tableParts>
</x:worksheet>
</file>

<file path=xl/worksheets/sheet3.xml><?xml version="1.0" encoding="utf-8"?>
<x:worksheet xmlns:x="http://schemas.openxmlformats.org/spreadsheetml/2006/main">
  <x:sheetPr>
    <x:tabColor rgb="FFF5B7C2"/>
  </x:sheetPr>
  <x:sheetViews>
    <x:sheetView showGridLines="0" workbookViewId="0">
      <x:pane xSplit="2" ySplit="5" topLeftCell="C6" activePane="bottomRight" state="frozen"/>
    </x:sheetView>
  </x:sheetViews>
  <x:sheetFormatPr defaultRowHeight="14.25"/>
  <x:cols>
    <x:col min="1" max="1" width="13" customWidth="1"/>
    <x:col min="2" max="2" width="20" customWidth="1"/>
    <x:col min="3" max="3" width="30" customWidth="1"/>
    <x:col min="4" max="5" width="14" customWidth="1"/>
    <x:col min="6" max="8" width="34" customWidth="1"/>
    <x:col min="9" max="9" width="20" customWidth="1"/>
    <x:col min="10" max="10" width="15" customWidth="1"/>
    <x:col min="11" max="11" width="30" customWidth="1"/>
    <x:col min="12" max="12" width="16" customWidth="1"/>
    <x:col min="13" max="13" width="13" customWidth="1"/>
    <x:col min="14" max="14" width="24" customWidth="1"/>
  </x:cols>
  <x:sheetData>
    <x:row r="2" ht="26.100000381469727" customHeight="1">
      <x:c r="A2" s="1" t="s">
        <x:v>557</x:v>
      </x:c>
    </x:row>
    <x:row r="3">
      <x:c r="A3" s="3" t="s">
        <x:v>558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5" ht="33.95000076293945" customHeight="1">
      <x:c r="A5" s="6" t="s">
        <x:v>28</x:v>
      </x:c>
      <x:c r="B5" s="6" t="s">
        <x:v>559</x:v>
      </x:c>
      <x:c r="C5" s="6" t="s">
        <x:v>30</x:v>
      </x:c>
      <x:c r="D5" s="6" t="s">
        <x:v>33</x:v>
      </x:c>
      <x:c r="E5" s="6" t="s">
        <x:v>34</x:v>
      </x:c>
      <x:c r="F5" s="6" t="s">
        <x:v>35</x:v>
      </x:c>
      <x:c r="G5" s="6" t="s">
        <x:v>37</x:v>
      </x:c>
      <x:c r="H5" s="6" t="s">
        <x:v>39</x:v>
      </x:c>
      <x:c r="I5" s="6" t="s">
        <x:v>560</x:v>
      </x:c>
      <x:c r="J5" s="6" t="s">
        <x:v>40</x:v>
      </x:c>
      <x:c r="K5" s="6" t="s">
        <x:v>41</x:v>
      </x:c>
      <x:c r="L5" s="6" t="s">
        <x:v>42</x:v>
      </x:c>
      <x:c r="M5" s="6" t="s">
        <x:v>43</x:v>
      </x:c>
      <x:c r="N5" s="6" t="s">
        <x:v>44</x:v>
      </x:c>
    </x:row>
    <x:row r="6" ht="57.95000076293945" customHeight="1">
      <x:c r="A6" s="7" t="s">
        <x:v>561</x:v>
      </x:c>
      <x:c r="B6" s="4" t="s">
        <x:v>562</x:v>
      </x:c>
      <x:c r="C6" s="4" t="s">
        <x:v>563</x:v>
      </x:c>
      <x:c r="D6" s="11" t="s">
        <x:v>564</x:v>
      </x:c>
      <x:c r="E6" s="11" t="s">
        <x:v>9</x:v>
      </x:c>
      <x:c r="F6" s="4" t="s">
        <x:v>565</x:v>
      </x:c>
      <x:c r="G6" s="4" t="s">
        <x:v>566</x:v>
      </x:c>
      <x:c r="H6" s="4" t="s">
        <x:v>567</x:v>
      </x:c>
      <x:c r="I6" s="4" t="s">
        <x:v>568</x:v>
      </x:c>
      <x:c r="J6" s="11" t="s">
        <x:v>12</x:v>
      </x:c>
      <x:c r="K6" s="4"/>
      <x:c r="L6" s="4"/>
      <x:c r="M6" s="9"/>
      <x:c r="N6" s="4"/>
    </x:row>
    <x:row r="7" ht="57.95000076293945" customHeight="1">
      <x:c r="A7" s="7" t="s">
        <x:v>569</x:v>
      </x:c>
      <x:c r="B7" s="4" t="s">
        <x:v>562</x:v>
      </x:c>
      <x:c r="C7" s="4" t="s">
        <x:v>92</x:v>
      </x:c>
      <x:c r="D7" s="11" t="s">
        <x:v>570</x:v>
      </x:c>
      <x:c r="E7" s="11" t="s">
        <x:v>7</x:v>
      </x:c>
      <x:c r="F7" s="4" t="s">
        <x:v>571</x:v>
      </x:c>
      <x:c r="G7" s="4" t="s">
        <x:v>572</x:v>
      </x:c>
      <x:c r="H7" s="4" t="s">
        <x:v>573</x:v>
      </x:c>
      <x:c r="I7" s="4" t="s">
        <x:v>574</x:v>
      </x:c>
      <x:c r="J7" s="11" t="s">
        <x:v>12</x:v>
      </x:c>
      <x:c r="K7" s="4"/>
      <x:c r="L7" s="4"/>
      <x:c r="M7" s="9"/>
      <x:c r="N7" s="4"/>
    </x:row>
    <x:row r="8" ht="57.95000076293945" customHeight="1">
      <x:c r="A8" s="7" t="s">
        <x:v>575</x:v>
      </x:c>
      <x:c r="B8" s="4" t="s">
        <x:v>562</x:v>
      </x:c>
      <x:c r="C8" s="4" t="s">
        <x:v>576</x:v>
      </x:c>
      <x:c r="D8" s="11" t="s">
        <x:v>77</x:v>
      </x:c>
      <x:c r="E8" s="11" t="s">
        <x:v>9</x:v>
      </x:c>
      <x:c r="F8" s="4" t="s">
        <x:v>577</x:v>
      </x:c>
      <x:c r="G8" s="4" t="s">
        <x:v>578</x:v>
      </x:c>
      <x:c r="H8" s="4" t="s">
        <x:v>579</x:v>
      </x:c>
      <x:c r="I8" s="4" t="s">
        <x:v>580</x:v>
      </x:c>
      <x:c r="J8" s="11" t="s">
        <x:v>12</x:v>
      </x:c>
      <x:c r="K8" s="4"/>
      <x:c r="L8" s="4"/>
      <x:c r="M8" s="9"/>
      <x:c r="N8" s="4"/>
    </x:row>
    <x:row r="9" ht="57.95000076293945" customHeight="1">
      <x:c r="A9" s="7" t="s">
        <x:v>581</x:v>
      </x:c>
      <x:c r="B9" s="4" t="s">
        <x:v>562</x:v>
      </x:c>
      <x:c r="C9" s="4" t="s">
        <x:v>582</x:v>
      </x:c>
      <x:c r="D9" s="11" t="s">
        <x:v>583</x:v>
      </x:c>
      <x:c r="E9" s="11" t="s">
        <x:v>11</x:v>
      </x:c>
      <x:c r="F9" s="4" t="s">
        <x:v>565</x:v>
      </x:c>
      <x:c r="G9" s="4" t="s">
        <x:v>584</x:v>
      </x:c>
      <x:c r="H9" s="4" t="s">
        <x:v>585</x:v>
      </x:c>
      <x:c r="I9" s="4" t="s">
        <x:v>580</x:v>
      </x:c>
      <x:c r="J9" s="11" t="s">
        <x:v>12</x:v>
      </x:c>
      <x:c r="K9" s="4"/>
      <x:c r="L9" s="4"/>
      <x:c r="M9" s="9"/>
      <x:c r="N9" s="4"/>
    </x:row>
    <x:row r="10" ht="57.95000076293945" customHeight="1">
      <x:c r="A10" s="7" t="s">
        <x:v>586</x:v>
      </x:c>
      <x:c r="B10" s="4" t="s">
        <x:v>587</x:v>
      </x:c>
      <x:c r="C10" s="4" t="s">
        <x:v>588</x:v>
      </x:c>
      <x:c r="D10" s="11" t="s">
        <x:v>570</x:v>
      </x:c>
      <x:c r="E10" s="11" t="s">
        <x:v>7</x:v>
      </x:c>
      <x:c r="F10" s="4" t="s">
        <x:v>589</x:v>
      </x:c>
      <x:c r="G10" s="4" t="s">
        <x:v>590</x:v>
      </x:c>
      <x:c r="H10" s="4" t="s">
        <x:v>591</x:v>
      </x:c>
      <x:c r="I10" s="4" t="s">
        <x:v>580</x:v>
      </x:c>
      <x:c r="J10" s="11" t="s">
        <x:v>12</x:v>
      </x:c>
      <x:c r="K10" s="4"/>
      <x:c r="L10" s="4"/>
      <x:c r="M10" s="9"/>
      <x:c r="N10" s="4"/>
    </x:row>
    <x:row r="11" ht="57.95000076293945" customHeight="1">
      <x:c r="A11" s="7" t="s">
        <x:v>592</x:v>
      </x:c>
      <x:c r="B11" s="4" t="s">
        <x:v>587</x:v>
      </x:c>
      <x:c r="C11" s="4" t="s">
        <x:v>593</x:v>
      </x:c>
      <x:c r="D11" s="11" t="s">
        <x:v>77</x:v>
      </x:c>
      <x:c r="E11" s="11" t="s">
        <x:v>9</x:v>
      </x:c>
      <x:c r="F11" s="4" t="s">
        <x:v>594</x:v>
      </x:c>
      <x:c r="G11" s="4" t="s">
        <x:v>595</x:v>
      </x:c>
      <x:c r="H11" s="4" t="s">
        <x:v>596</x:v>
      </x:c>
      <x:c r="I11" s="4" t="s">
        <x:v>580</x:v>
      </x:c>
      <x:c r="J11" s="11" t="s">
        <x:v>12</x:v>
      </x:c>
      <x:c r="K11" s="4"/>
      <x:c r="L11" s="4"/>
      <x:c r="M11" s="9"/>
      <x:c r="N11" s="4"/>
    </x:row>
    <x:row r="12" ht="57.95000076293945" customHeight="1">
      <x:c r="A12" s="7" t="s">
        <x:v>597</x:v>
      </x:c>
      <x:c r="B12" s="4" t="s">
        <x:v>598</x:v>
      </x:c>
      <x:c r="C12" s="4" t="s">
        <x:v>599</x:v>
      </x:c>
      <x:c r="D12" s="11" t="s">
        <x:v>570</x:v>
      </x:c>
      <x:c r="E12" s="11" t="s">
        <x:v>7</x:v>
      </x:c>
      <x:c r="F12" s="4" t="s">
        <x:v>600</x:v>
      </x:c>
      <x:c r="G12" s="4" t="s">
        <x:v>601</x:v>
      </x:c>
      <x:c r="H12" s="4" t="s">
        <x:v>602</x:v>
      </x:c>
      <x:c r="I12" s="4" t="s">
        <x:v>580</x:v>
      </x:c>
      <x:c r="J12" s="11" t="s">
        <x:v>12</x:v>
      </x:c>
      <x:c r="K12" s="4"/>
      <x:c r="L12" s="4"/>
      <x:c r="M12" s="9"/>
      <x:c r="N12" s="4"/>
    </x:row>
    <x:row r="13" ht="57.95000076293945" customHeight="1">
      <x:c r="A13" s="7" t="s">
        <x:v>603</x:v>
      </x:c>
      <x:c r="B13" s="4" t="s">
        <x:v>604</x:v>
      </x:c>
      <x:c r="C13" s="4" t="s">
        <x:v>605</x:v>
      </x:c>
      <x:c r="D13" s="11" t="s">
        <x:v>570</x:v>
      </x:c>
      <x:c r="E13" s="11" t="s">
        <x:v>9</x:v>
      </x:c>
      <x:c r="F13" s="4" t="s">
        <x:v>606</x:v>
      </x:c>
      <x:c r="G13" s="4" t="s">
        <x:v>607</x:v>
      </x:c>
      <x:c r="H13" s="4" t="s">
        <x:v>608</x:v>
      </x:c>
      <x:c r="I13" s="4" t="s">
        <x:v>580</x:v>
      </x:c>
      <x:c r="J13" s="11" t="s">
        <x:v>12</x:v>
      </x:c>
      <x:c r="K13" s="4"/>
      <x:c r="L13" s="4"/>
      <x:c r="M13" s="9"/>
      <x:c r="N13" s="4"/>
    </x:row>
    <x:row r="14" ht="57.95000076293945" customHeight="1">
      <x:c r="A14" s="7" t="s">
        <x:v>609</x:v>
      </x:c>
      <x:c r="B14" s="4" t="s">
        <x:v>604</x:v>
      </x:c>
      <x:c r="C14" s="4" t="s">
        <x:v>610</x:v>
      </x:c>
      <x:c r="D14" s="11" t="s">
        <x:v>570</x:v>
      </x:c>
      <x:c r="E14" s="11" t="s">
        <x:v>7</x:v>
      </x:c>
      <x:c r="F14" s="4" t="s">
        <x:v>611</x:v>
      </x:c>
      <x:c r="G14" s="4" t="s">
        <x:v>612</x:v>
      </x:c>
      <x:c r="H14" s="4" t="s">
        <x:v>613</x:v>
      </x:c>
      <x:c r="I14" s="4" t="s">
        <x:v>580</x:v>
      </x:c>
      <x:c r="J14" s="11" t="s">
        <x:v>12</x:v>
      </x:c>
      <x:c r="K14" s="4"/>
      <x:c r="L14" s="4"/>
      <x:c r="M14" s="9"/>
      <x:c r="N14" s="4"/>
    </x:row>
    <x:row r="15" ht="57.95000076293945" customHeight="1">
      <x:c r="A15" s="7" t="s">
        <x:v>614</x:v>
      </x:c>
      <x:c r="B15" s="4" t="s">
        <x:v>615</x:v>
      </x:c>
      <x:c r="C15" s="4" t="s">
        <x:v>616</x:v>
      </x:c>
      <x:c r="D15" s="11" t="s">
        <x:v>570</x:v>
      </x:c>
      <x:c r="E15" s="11" t="s">
        <x:v>7</x:v>
      </x:c>
      <x:c r="F15" s="4" t="s">
        <x:v>162</x:v>
      </x:c>
      <x:c r="G15" s="4" t="s">
        <x:v>617</x:v>
      </x:c>
      <x:c r="H15" s="4" t="s">
        <x:v>618</x:v>
      </x:c>
      <x:c r="I15" s="4" t="s">
        <x:v>580</x:v>
      </x:c>
      <x:c r="J15" s="11" t="s">
        <x:v>12</x:v>
      </x:c>
      <x:c r="K15" s="4"/>
      <x:c r="L15" s="4"/>
      <x:c r="M15" s="9"/>
      <x:c r="N15" s="4"/>
    </x:row>
    <x:row r="16" ht="57.95000076293945" customHeight="1">
      <x:c r="A16" s="7" t="s">
        <x:v>619</x:v>
      </x:c>
      <x:c r="B16" s="4" t="s">
        <x:v>620</x:v>
      </x:c>
      <x:c r="C16" s="4" t="s">
        <x:v>621</x:v>
      </x:c>
      <x:c r="D16" s="11" t="s">
        <x:v>622</x:v>
      </x:c>
      <x:c r="E16" s="11" t="s">
        <x:v>7</x:v>
      </x:c>
      <x:c r="F16" s="4" t="s">
        <x:v>623</x:v>
      </x:c>
      <x:c r="G16" s="4" t="s">
        <x:v>624</x:v>
      </x:c>
      <x:c r="H16" s="4" t="s">
        <x:v>625</x:v>
      </x:c>
      <x:c r="I16" s="4" t="s">
        <x:v>580</x:v>
      </x:c>
      <x:c r="J16" s="11" t="s">
        <x:v>12</x:v>
      </x:c>
      <x:c r="K16" s="4"/>
      <x:c r="L16" s="4"/>
      <x:c r="M16" s="9"/>
      <x:c r="N16" s="4"/>
    </x:row>
    <x:row r="17" ht="57.95000076293945" customHeight="1">
      <x:c r="A17" s="7" t="s">
        <x:v>626</x:v>
      </x:c>
      <x:c r="B17" s="4" t="s">
        <x:v>620</x:v>
      </x:c>
      <x:c r="C17" s="4" t="s">
        <x:v>627</x:v>
      </x:c>
      <x:c r="D17" s="11" t="s">
        <x:v>583</x:v>
      </x:c>
      <x:c r="E17" s="11" t="s">
        <x:v>9</x:v>
      </x:c>
      <x:c r="F17" s="4" t="s">
        <x:v>628</x:v>
      </x:c>
      <x:c r="G17" s="4" t="s">
        <x:v>629</x:v>
      </x:c>
      <x:c r="H17" s="4" t="s">
        <x:v>630</x:v>
      </x:c>
      <x:c r="I17" s="4" t="s">
        <x:v>574</x:v>
      </x:c>
      <x:c r="J17" s="11" t="s">
        <x:v>12</x:v>
      </x:c>
      <x:c r="K17" s="4"/>
      <x:c r="L17" s="4"/>
      <x:c r="M17" s="9"/>
      <x:c r="N17" s="4"/>
    </x:row>
    <x:row r="18" ht="57.95000076293945" customHeight="1">
      <x:c r="A18" s="7" t="s">
        <x:v>631</x:v>
      </x:c>
      <x:c r="B18" s="4" t="s">
        <x:v>620</x:v>
      </x:c>
      <x:c r="C18" s="4" t="s">
        <x:v>632</x:v>
      </x:c>
      <x:c r="D18" s="11" t="s">
        <x:v>570</x:v>
      </x:c>
      <x:c r="E18" s="11" t="s">
        <x:v>9</x:v>
      </x:c>
      <x:c r="F18" s="4" t="s">
        <x:v>633</x:v>
      </x:c>
      <x:c r="G18" s="4" t="s">
        <x:v>634</x:v>
      </x:c>
      <x:c r="H18" s="4" t="s">
        <x:v>635</x:v>
      </x:c>
      <x:c r="I18" s="4" t="s">
        <x:v>580</x:v>
      </x:c>
      <x:c r="J18" s="11" t="s">
        <x:v>12</x:v>
      </x:c>
      <x:c r="K18" s="4"/>
      <x:c r="L18" s="4"/>
      <x:c r="M18" s="9"/>
      <x:c r="N18" s="4"/>
    </x:row>
    <x:row r="19" ht="57.95000076293945" customHeight="1">
      <x:c r="A19" s="7" t="s">
        <x:v>636</x:v>
      </x:c>
      <x:c r="B19" s="4" t="s">
        <x:v>620</x:v>
      </x:c>
      <x:c r="C19" s="4" t="s">
        <x:v>637</x:v>
      </x:c>
      <x:c r="D19" s="11" t="s">
        <x:v>638</x:v>
      </x:c>
      <x:c r="E19" s="11" t="s">
        <x:v>9</x:v>
      </x:c>
      <x:c r="F19" s="4" t="s">
        <x:v>639</x:v>
      </x:c>
      <x:c r="G19" s="4" t="s">
        <x:v>640</x:v>
      </x:c>
      <x:c r="H19" s="4" t="s">
        <x:v>641</x:v>
      </x:c>
      <x:c r="I19" s="4" t="s">
        <x:v>574</x:v>
      </x:c>
      <x:c r="J19" s="11" t="s">
        <x:v>12</x:v>
      </x:c>
      <x:c r="K19" s="4"/>
      <x:c r="L19" s="4"/>
      <x:c r="M19" s="9"/>
      <x:c r="N19" s="4"/>
    </x:row>
    <x:row r="20" ht="57.95000076293945" customHeight="1">
      <x:c r="A20" s="7" t="s">
        <x:v>642</x:v>
      </x:c>
      <x:c r="B20" s="4" t="s">
        <x:v>620</x:v>
      </x:c>
      <x:c r="C20" s="4" t="s">
        <x:v>643</x:v>
      </x:c>
      <x:c r="D20" s="11" t="s">
        <x:v>570</x:v>
      </x:c>
      <x:c r="E20" s="11" t="s">
        <x:v>7</x:v>
      </x:c>
      <x:c r="F20" s="4" t="s">
        <x:v>644</x:v>
      </x:c>
      <x:c r="G20" s="4" t="s">
        <x:v>645</x:v>
      </x:c>
      <x:c r="H20" s="4" t="s">
        <x:v>646</x:v>
      </x:c>
      <x:c r="I20" s="4" t="s">
        <x:v>580</x:v>
      </x:c>
      <x:c r="J20" s="11" t="s">
        <x:v>12</x:v>
      </x:c>
      <x:c r="K20" s="4"/>
      <x:c r="L20" s="4"/>
      <x:c r="M20" s="9"/>
      <x:c r="N20" s="4"/>
    </x:row>
    <x:row r="21" ht="57.95000076293945" customHeight="1">
      <x:c r="A21" s="7" t="s">
        <x:v>647</x:v>
      </x:c>
      <x:c r="B21" s="4" t="s">
        <x:v>648</x:v>
      </x:c>
      <x:c r="C21" s="4" t="s">
        <x:v>649</x:v>
      </x:c>
      <x:c r="D21" s="11" t="s">
        <x:v>622</x:v>
      </x:c>
      <x:c r="E21" s="11" t="s">
        <x:v>9</x:v>
      </x:c>
      <x:c r="F21" s="4" t="s">
        <x:v>650</x:v>
      </x:c>
      <x:c r="G21" s="4" t="s">
        <x:v>651</x:v>
      </x:c>
      <x:c r="H21" s="4" t="s">
        <x:v>652</x:v>
      </x:c>
      <x:c r="I21" s="4" t="s">
        <x:v>580</x:v>
      </x:c>
      <x:c r="J21" s="11" t="s">
        <x:v>12</x:v>
      </x:c>
      <x:c r="K21" s="4"/>
      <x:c r="L21" s="4"/>
      <x:c r="M21" s="9"/>
      <x:c r="N21" s="4"/>
    </x:row>
    <x:row r="22" ht="57.95000076293945" customHeight="1">
      <x:c r="A22" s="7" t="s">
        <x:v>653</x:v>
      </x:c>
      <x:c r="B22" s="4" t="s">
        <x:v>654</x:v>
      </x:c>
      <x:c r="C22" s="4" t="s">
        <x:v>655</x:v>
      </x:c>
      <x:c r="D22" s="11" t="s">
        <x:v>583</x:v>
      </x:c>
      <x:c r="E22" s="11" t="s">
        <x:v>9</x:v>
      </x:c>
      <x:c r="F22" s="4" t="s">
        <x:v>656</x:v>
      </x:c>
      <x:c r="G22" s="4" t="s">
        <x:v>657</x:v>
      </x:c>
      <x:c r="H22" s="4" t="s">
        <x:v>658</x:v>
      </x:c>
      <x:c r="I22" s="4" t="s">
        <x:v>580</x:v>
      </x:c>
      <x:c r="J22" s="11" t="s">
        <x:v>12</x:v>
      </x:c>
      <x:c r="K22" s="4"/>
      <x:c r="L22" s="4"/>
      <x:c r="M22" s="9"/>
      <x:c r="N22" s="4"/>
    </x:row>
    <x:row r="23" ht="57.95000076293945" customHeight="1">
      <x:c r="A23" s="7" t="s">
        <x:v>659</x:v>
      </x:c>
      <x:c r="B23" s="4" t="s">
        <x:v>654</x:v>
      </x:c>
      <x:c r="C23" s="4" t="s">
        <x:v>660</x:v>
      </x:c>
      <x:c r="D23" s="11" t="s">
        <x:v>638</x:v>
      </x:c>
      <x:c r="E23" s="11" t="s">
        <x:v>11</x:v>
      </x:c>
      <x:c r="F23" s="4" t="s">
        <x:v>661</x:v>
      </x:c>
      <x:c r="G23" s="4" t="s">
        <x:v>662</x:v>
      </x:c>
      <x:c r="H23" s="4" t="s">
        <x:v>663</x:v>
      </x:c>
      <x:c r="I23" s="4" t="s">
        <x:v>580</x:v>
      </x:c>
      <x:c r="J23" s="11" t="s">
        <x:v>12</x:v>
      </x:c>
      <x:c r="K23" s="4"/>
      <x:c r="L23" s="4"/>
      <x:c r="M23" s="9"/>
      <x:c r="N23" s="4"/>
    </x:row>
    <x:row r="24" ht="57.95000076293945" customHeight="1">
      <x:c r="A24" s="7" t="s">
        <x:v>664</x:v>
      </x:c>
      <x:c r="B24" s="4" t="s">
        <x:v>654</x:v>
      </x:c>
      <x:c r="C24" s="4" t="s">
        <x:v>665</x:v>
      </x:c>
      <x:c r="D24" s="11" t="s">
        <x:v>666</x:v>
      </x:c>
      <x:c r="E24" s="11" t="s">
        <x:v>9</x:v>
      </x:c>
      <x:c r="F24" s="4" t="s">
        <x:v>656</x:v>
      </x:c>
      <x:c r="G24" s="4" t="s">
        <x:v>667</x:v>
      </x:c>
      <x:c r="H24" s="4" t="s">
        <x:v>668</x:v>
      </x:c>
      <x:c r="I24" s="4" t="s">
        <x:v>666</x:v>
      </x:c>
      <x:c r="J24" s="11" t="s">
        <x:v>12</x:v>
      </x:c>
      <x:c r="K24" s="4"/>
      <x:c r="L24" s="4"/>
      <x:c r="M24" s="9"/>
      <x:c r="N24" s="4"/>
    </x:row>
    <x:row r="25" ht="57.95000076293945" customHeight="1">
      <x:c r="A25" s="7" t="s">
        <x:v>669</x:v>
      </x:c>
      <x:c r="B25" s="4" t="s">
        <x:v>670</x:v>
      </x:c>
      <x:c r="C25" s="4" t="s">
        <x:v>671</x:v>
      </x:c>
      <x:c r="D25" s="11" t="s">
        <x:v>570</x:v>
      </x:c>
      <x:c r="E25" s="11" t="s">
        <x:v>7</x:v>
      </x:c>
      <x:c r="F25" s="4" t="s">
        <x:v>672</x:v>
      </x:c>
      <x:c r="G25" s="4" t="s">
        <x:v>673</x:v>
      </x:c>
      <x:c r="H25" s="4" t="s">
        <x:v>674</x:v>
      </x:c>
      <x:c r="I25" s="4" t="s">
        <x:v>580</x:v>
      </x:c>
      <x:c r="J25" s="11" t="s">
        <x:v>12</x:v>
      </x:c>
      <x:c r="K25" s="4"/>
      <x:c r="L25" s="4"/>
      <x:c r="M25" s="9"/>
      <x:c r="N25" s="4"/>
    </x:row>
    <x:row r="26" ht="57.95000076293945" customHeight="1">
      <x:c r="A26" s="7" t="s">
        <x:v>675</x:v>
      </x:c>
      <x:c r="B26" s="4" t="s">
        <x:v>670</x:v>
      </x:c>
      <x:c r="C26" s="4" t="s">
        <x:v>676</x:v>
      </x:c>
      <x:c r="D26" s="11" t="s">
        <x:v>564</x:v>
      </x:c>
      <x:c r="E26" s="11" t="s">
        <x:v>9</x:v>
      </x:c>
      <x:c r="F26" s="4" t="s">
        <x:v>677</x:v>
      </x:c>
      <x:c r="G26" s="4" t="s">
        <x:v>678</x:v>
      </x:c>
      <x:c r="H26" s="4" t="s">
        <x:v>679</x:v>
      </x:c>
      <x:c r="I26" s="4" t="s">
        <x:v>680</x:v>
      </x:c>
      <x:c r="J26" s="11" t="s">
        <x:v>12</x:v>
      </x:c>
      <x:c r="K26" s="4"/>
      <x:c r="L26" s="4"/>
      <x:c r="M26" s="9"/>
      <x:c r="N26" s="4"/>
    </x:row>
    <x:row r="27" ht="78" hidden="0" customHeight="1">
      <x:c r="A27" s="7" t="s">
        <x:v>681</x:v>
      </x:c>
      <x:c r="B27" s="4" t="s">
        <x:v>670</x:v>
      </x:c>
      <x:c r="C27" s="4" t="s">
        <x:v>682</x:v>
      </x:c>
      <x:c r="D27" s="11" t="s">
        <x:v>638</x:v>
      </x:c>
      <x:c r="E27" s="11" t="s">
        <x:v>11</x:v>
      </x:c>
      <x:c r="F27" s="4" t="s">
        <x:v>244</x:v>
      </x:c>
      <x:c r="G27" s="4" t="s">
        <x:v>683</x:v>
      </x:c>
      <x:c r="H27" s="4" t="s">
        <x:v>684</x:v>
      </x:c>
      <x:c r="I27" s="4" t="s">
        <x:v>580</x:v>
      </x:c>
      <x:c r="J27" s="11" t="s">
        <x:v>12</x:v>
      </x:c>
      <x:c r="K27" s="4"/>
      <x:c r="L27" s="4"/>
      <x:c r="M27" s="9"/>
      <x:c r="N27" s="4" t="str">
        <x:v>Lịch sử: luồng cũ cuộn section. Luồng hiện tại chọn category sẽ fetch API; xem case bổ sung Products. Giữ nguyên kết quả test cũ, không coi là đã chạy lại.</x:v>
      </x:c>
    </x:row>
    <x:row r="28" ht="57.95000076293945" customHeight="1">
      <x:c r="A28" s="7" t="s">
        <x:v>685</x:v>
      </x:c>
      <x:c r="B28" s="4" t="s">
        <x:v>670</x:v>
      </x:c>
      <x:c r="C28" s="4" t="s">
        <x:v>686</x:v>
      </x:c>
      <x:c r="D28" s="11" t="s">
        <x:v>570</x:v>
      </x:c>
      <x:c r="E28" s="11" t="s">
        <x:v>11</x:v>
      </x:c>
      <x:c r="F28" s="4" t="s">
        <x:v>687</x:v>
      </x:c>
      <x:c r="G28" s="4" t="s">
        <x:v>688</x:v>
      </x:c>
      <x:c r="H28" s="4" t="s">
        <x:v>689</x:v>
      </x:c>
      <x:c r="I28" s="4" t="s">
        <x:v>580</x:v>
      </x:c>
      <x:c r="J28" s="11" t="s">
        <x:v>12</x:v>
      </x:c>
      <x:c r="K28" s="4"/>
      <x:c r="L28" s="4"/>
      <x:c r="M28" s="9"/>
      <x:c r="N28" s="4"/>
    </x:row>
    <x:row r="29" ht="66" hidden="0" customHeight="1">
      <x:c r="A29" s="7" t="s">
        <x:v>690</x:v>
      </x:c>
      <x:c r="B29" s="4" t="s">
        <x:v>670</x:v>
      </x:c>
      <x:c r="C29" s="4" t="s">
        <x:v>691</x:v>
      </x:c>
      <x:c r="D29" s="11" t="s">
        <x:v>570</x:v>
      </x:c>
      <x:c r="E29" s="11" t="s">
        <x:v>9</x:v>
      </x:c>
      <x:c r="F29" s="4" t="s">
        <x:v>692</x:v>
      </x:c>
      <x:c r="G29" s="4" t="s">
        <x:v>693</x:v>
      </x:c>
      <x:c r="H29" s="4" t="s">
        <x:v>694</x:v>
      </x:c>
      <x:c r="I29" s="4" t="s">
        <x:v>580</x:v>
      </x:c>
      <x:c r="J29" s="11" t="s">
        <x:v>12</x:v>
      </x:c>
      <x:c r="K29" s="4"/>
      <x:c r="L29" s="4"/>
      <x:c r="M29" s="9"/>
      <x:c r="N29" s="4" t="str">
        <x:v>Lịch sử: Favorite trên card đã bỏ; hiện chỉ có ở Product Detail. Xem case bổ sung Products/Product Detail. Kết quả cũ chưa được chạy lại.</x:v>
      </x:c>
    </x:row>
    <x:row r="30" ht="57.95000076293945" customHeight="1">
      <x:c r="A30" s="7" t="s">
        <x:v>695</x:v>
      </x:c>
      <x:c r="B30" s="4" t="s">
        <x:v>670</x:v>
      </x:c>
      <x:c r="C30" s="4" t="s">
        <x:v>696</x:v>
      </x:c>
      <x:c r="D30" s="11" t="s">
        <x:v>583</x:v>
      </x:c>
      <x:c r="E30" s="11" t="s">
        <x:v>9</x:v>
      </x:c>
      <x:c r="F30" s="4" t="s">
        <x:v>262</x:v>
      </x:c>
      <x:c r="G30" s="4" t="s">
        <x:v>697</x:v>
      </x:c>
      <x:c r="H30" s="4" t="s">
        <x:v>698</x:v>
      </x:c>
      <x:c r="I30" s="4" t="s">
        <x:v>580</x:v>
      </x:c>
      <x:c r="J30" s="11" t="s">
        <x:v>12</x:v>
      </x:c>
      <x:c r="K30" s="4"/>
      <x:c r="L30" s="4"/>
      <x:c r="M30" s="9"/>
      <x:c r="N30" s="4"/>
    </x:row>
    <x:row r="31" ht="66" hidden="0" customHeight="1">
      <x:c r="A31" s="7" t="s">
        <x:v>699</x:v>
      </x:c>
      <x:c r="B31" s="4" t="s">
        <x:v>670</x:v>
      </x:c>
      <x:c r="C31" s="4" t="s">
        <x:v>700</x:v>
      </x:c>
      <x:c r="D31" s="11" t="s">
        <x:v>570</x:v>
      </x:c>
      <x:c r="E31" s="11" t="s">
        <x:v>7</x:v>
      </x:c>
      <x:c r="F31" s="4" t="s">
        <x:v>701</x:v>
      </x:c>
      <x:c r="G31" s="4" t="s">
        <x:v>702</x:v>
      </x:c>
      <x:c r="H31" s="4" t="s">
        <x:v>703</x:v>
      </x:c>
      <x:c r="I31" s="4" t="s">
        <x:v>580</x:v>
      </x:c>
      <x:c r="J31" s="11" t="s">
        <x:v>12</x:v>
      </x:c>
      <x:c r="K31" s="4"/>
      <x:c r="L31" s="4"/>
      <x:c r="M31" s="9"/>
      <x:c r="N31" s="4" t="str">
        <x:v>Lịch sử: Order Now đã thay bằng Add To Cart, không tạo Order ngay. Xem case bổ sung Products. Kết quả cũ chưa được chạy lại.</x:v>
      </x:c>
    </x:row>
    <x:row r="32" ht="57.95000076293945" customHeight="1">
      <x:c r="A32" s="7" t="s">
        <x:v>704</x:v>
      </x:c>
      <x:c r="B32" s="4" t="s">
        <x:v>670</x:v>
      </x:c>
      <x:c r="C32" s="4" t="s">
        <x:v>705</x:v>
      </x:c>
      <x:c r="D32" s="11" t="s">
        <x:v>706</x:v>
      </x:c>
      <x:c r="E32" s="11" t="s">
        <x:v>9</x:v>
      </x:c>
      <x:c r="F32" s="4" t="s">
        <x:v>707</x:v>
      </x:c>
      <x:c r="G32" s="4" t="s">
        <x:v>708</x:v>
      </x:c>
      <x:c r="H32" s="4" t="s">
        <x:v>709</x:v>
      </x:c>
      <x:c r="I32" s="4" t="s">
        <x:v>580</x:v>
      </x:c>
      <x:c r="J32" s="11" t="s">
        <x:v>12</x:v>
      </x:c>
      <x:c r="K32" s="4"/>
      <x:c r="L32" s="4"/>
      <x:c r="M32" s="9"/>
      <x:c r="N32" s="4"/>
    </x:row>
    <x:row r="33" ht="57.95000076293945" customHeight="1">
      <x:c r="A33" s="7" t="s">
        <x:v>710</x:v>
      </x:c>
      <x:c r="B33" s="4" t="s">
        <x:v>711</x:v>
      </x:c>
      <x:c r="C33" s="4" t="s">
        <x:v>712</x:v>
      </x:c>
      <x:c r="D33" s="11" t="s">
        <x:v>570</x:v>
      </x:c>
      <x:c r="E33" s="11" t="s">
        <x:v>7</x:v>
      </x:c>
      <x:c r="F33" s="4" t="s">
        <x:v>713</x:v>
      </x:c>
      <x:c r="G33" s="4" t="s">
        <x:v>714</x:v>
      </x:c>
      <x:c r="H33" s="4" t="s">
        <x:v>715</x:v>
      </x:c>
      <x:c r="I33" s="4" t="s">
        <x:v>580</x:v>
      </x:c>
      <x:c r="J33" s="11" t="s">
        <x:v>12</x:v>
      </x:c>
      <x:c r="K33" s="4"/>
      <x:c r="L33" s="4"/>
      <x:c r="M33" s="9"/>
      <x:c r="N33" s="4"/>
    </x:row>
    <x:row r="34" ht="57.95000076293945" customHeight="1">
      <x:c r="A34" s="7" t="s">
        <x:v>716</x:v>
      </x:c>
      <x:c r="B34" s="4" t="s">
        <x:v>711</x:v>
      </x:c>
      <x:c r="C34" s="4" t="s">
        <x:v>717</x:v>
      </x:c>
      <x:c r="D34" s="11" t="s">
        <x:v>638</x:v>
      </x:c>
      <x:c r="E34" s="11" t="s">
        <x:v>9</x:v>
      </x:c>
      <x:c r="F34" s="4" t="s">
        <x:v>718</x:v>
      </x:c>
      <x:c r="G34" s="4" t="s">
        <x:v>719</x:v>
      </x:c>
      <x:c r="H34" s="4" t="s">
        <x:v>720</x:v>
      </x:c>
      <x:c r="I34" s="4" t="s">
        <x:v>580</x:v>
      </x:c>
      <x:c r="J34" s="11" t="s">
        <x:v>12</x:v>
      </x:c>
      <x:c r="K34" s="4"/>
      <x:c r="L34" s="4"/>
      <x:c r="M34" s="9"/>
      <x:c r="N34" s="4"/>
    </x:row>
    <x:row r="35" ht="57.95000076293945" customHeight="1">
      <x:c r="A35" s="7" t="s">
        <x:v>721</x:v>
      </x:c>
      <x:c r="B35" s="4" t="s">
        <x:v>711</x:v>
      </x:c>
      <x:c r="C35" s="4" t="s">
        <x:v>722</x:v>
      </x:c>
      <x:c r="D35" s="11" t="s">
        <x:v>150</x:v>
      </x:c>
      <x:c r="E35" s="11" t="s">
        <x:v>9</x:v>
      </x:c>
      <x:c r="F35" s="4" t="s">
        <x:v>723</x:v>
      </x:c>
      <x:c r="G35" s="4" t="s">
        <x:v>724</x:v>
      </x:c>
      <x:c r="H35" s="4" t="s">
        <x:v>725</x:v>
      </x:c>
      <x:c r="I35" s="4" t="s">
        <x:v>580</x:v>
      </x:c>
      <x:c r="J35" s="11" t="s">
        <x:v>12</x:v>
      </x:c>
      <x:c r="K35" s="4"/>
      <x:c r="L35" s="4"/>
      <x:c r="M35" s="9"/>
      <x:c r="N35" s="4"/>
    </x:row>
    <x:row r="36" ht="57.95000076293945" customHeight="1">
      <x:c r="A36" s="7" t="s">
        <x:v>726</x:v>
      </x:c>
      <x:c r="B36" s="4" t="s">
        <x:v>711</x:v>
      </x:c>
      <x:c r="C36" s="4" t="s">
        <x:v>727</x:v>
      </x:c>
      <x:c r="D36" s="11" t="s">
        <x:v>570</x:v>
      </x:c>
      <x:c r="E36" s="11" t="s">
        <x:v>7</x:v>
      </x:c>
      <x:c r="F36" s="4" t="s">
        <x:v>728</x:v>
      </x:c>
      <x:c r="G36" s="4" t="s">
        <x:v>729</x:v>
      </x:c>
      <x:c r="H36" s="4" t="s">
        <x:v>730</x:v>
      </x:c>
      <x:c r="I36" s="4" t="s">
        <x:v>580</x:v>
      </x:c>
      <x:c r="J36" s="11" t="s">
        <x:v>12</x:v>
      </x:c>
      <x:c r="K36" s="4"/>
      <x:c r="L36" s="4"/>
      <x:c r="M36" s="9"/>
      <x:c r="N36" s="4"/>
    </x:row>
    <x:row r="37" ht="57.95000076293945" customHeight="1">
      <x:c r="A37" s="7" t="s">
        <x:v>731</x:v>
      </x:c>
      <x:c r="B37" s="4" t="s">
        <x:v>711</x:v>
      </x:c>
      <x:c r="C37" s="4" t="s">
        <x:v>732</x:v>
      </x:c>
      <x:c r="D37" s="11" t="s">
        <x:v>570</x:v>
      </x:c>
      <x:c r="E37" s="11" t="s">
        <x:v>9</x:v>
      </x:c>
      <x:c r="F37" s="4" t="s">
        <x:v>692</x:v>
      </x:c>
      <x:c r="G37" s="4" t="s">
        <x:v>733</x:v>
      </x:c>
      <x:c r="H37" s="4" t="s">
        <x:v>734</x:v>
      </x:c>
      <x:c r="I37" s="4" t="s">
        <x:v>580</x:v>
      </x:c>
      <x:c r="J37" s="11" t="s">
        <x:v>12</x:v>
      </x:c>
      <x:c r="K37" s="4"/>
      <x:c r="L37" s="4"/>
      <x:c r="M37" s="9"/>
      <x:c r="N37" s="4"/>
    </x:row>
    <x:row r="38" ht="57.95000076293945" customHeight="1">
      <x:c r="A38" s="7" t="s">
        <x:v>735</x:v>
      </x:c>
      <x:c r="B38" s="4" t="s">
        <x:v>711</x:v>
      </x:c>
      <x:c r="C38" s="4" t="s">
        <x:v>736</x:v>
      </x:c>
      <x:c r="D38" s="11" t="s">
        <x:v>570</x:v>
      </x:c>
      <x:c r="E38" s="11" t="s">
        <x:v>11</x:v>
      </x:c>
      <x:c r="F38" s="4" t="s">
        <x:v>737</x:v>
      </x:c>
      <x:c r="G38" s="4" t="s">
        <x:v>738</x:v>
      </x:c>
      <x:c r="H38" s="4" t="s">
        <x:v>739</x:v>
      </x:c>
      <x:c r="I38" s="4" t="s">
        <x:v>580</x:v>
      </x:c>
      <x:c r="J38" s="11" t="s">
        <x:v>12</x:v>
      </x:c>
      <x:c r="K38" s="4"/>
      <x:c r="L38" s="4"/>
      <x:c r="M38" s="9"/>
      <x:c r="N38" s="4"/>
    </x:row>
    <x:row r="39" ht="57.95000076293945" customHeight="1">
      <x:c r="A39" s="7" t="s">
        <x:v>740</x:v>
      </x:c>
      <x:c r="B39" s="4" t="s">
        <x:v>177</x:v>
      </x:c>
      <x:c r="C39" s="4" t="s">
        <x:v>741</x:v>
      </x:c>
      <x:c r="D39" s="11" t="s">
        <x:v>570</x:v>
      </x:c>
      <x:c r="E39" s="11" t="s">
        <x:v>7</x:v>
      </x:c>
      <x:c r="F39" s="4" t="s">
        <x:v>692</x:v>
      </x:c>
      <x:c r="G39" s="4" t="s">
        <x:v>742</x:v>
      </x:c>
      <x:c r="H39" s="4" t="s">
        <x:v>743</x:v>
      </x:c>
      <x:c r="I39" s="4" t="s">
        <x:v>580</x:v>
      </x:c>
      <x:c r="J39" s="11" t="s">
        <x:v>12</x:v>
      </x:c>
      <x:c r="K39" s="4"/>
      <x:c r="L39" s="4"/>
      <x:c r="M39" s="9"/>
      <x:c r="N39" s="4"/>
    </x:row>
    <x:row r="40" ht="57.95000076293945" customHeight="1">
      <x:c r="A40" s="7" t="s">
        <x:v>744</x:v>
      </x:c>
      <x:c r="B40" s="4" t="s">
        <x:v>177</x:v>
      </x:c>
      <x:c r="C40" s="4" t="s">
        <x:v>745</x:v>
      </x:c>
      <x:c r="D40" s="11" t="s">
        <x:v>570</x:v>
      </x:c>
      <x:c r="E40" s="11" t="s">
        <x:v>9</x:v>
      </x:c>
      <x:c r="F40" s="4" t="s">
        <x:v>746</x:v>
      </x:c>
      <x:c r="G40" s="4" t="s">
        <x:v>747</x:v>
      </x:c>
      <x:c r="H40" s="4" t="s">
        <x:v>748</x:v>
      </x:c>
      <x:c r="I40" s="4" t="s">
        <x:v>580</x:v>
      </x:c>
      <x:c r="J40" s="11" t="s">
        <x:v>12</x:v>
      </x:c>
      <x:c r="K40" s="4"/>
      <x:c r="L40" s="4"/>
      <x:c r="M40" s="9"/>
      <x:c r="N40" s="4"/>
    </x:row>
    <x:row r="41" ht="57.95000076293945" customHeight="1">
      <x:c r="A41" s="7" t="s">
        <x:v>749</x:v>
      </x:c>
      <x:c r="B41" s="4" t="s">
        <x:v>177</x:v>
      </x:c>
      <x:c r="C41" s="4" t="s">
        <x:v>750</x:v>
      </x:c>
      <x:c r="D41" s="11" t="s">
        <x:v>638</x:v>
      </x:c>
      <x:c r="E41" s="11" t="s">
        <x:v>11</x:v>
      </x:c>
      <x:c r="F41" s="4" t="s">
        <x:v>751</x:v>
      </x:c>
      <x:c r="G41" s="4" t="s">
        <x:v>752</x:v>
      </x:c>
      <x:c r="H41" s="4" t="s">
        <x:v>753</x:v>
      </x:c>
      <x:c r="I41" s="4" t="s">
        <x:v>580</x:v>
      </x:c>
      <x:c r="J41" s="11" t="s">
        <x:v>12</x:v>
      </x:c>
      <x:c r="K41" s="4"/>
      <x:c r="L41" s="4"/>
      <x:c r="M41" s="9"/>
      <x:c r="N41" s="4"/>
    </x:row>
    <x:row r="42" ht="57.95000076293945" customHeight="1">
      <x:c r="A42" s="7" t="s">
        <x:v>754</x:v>
      </x:c>
      <x:c r="B42" s="4" t="s">
        <x:v>177</x:v>
      </x:c>
      <x:c r="C42" s="4" t="s">
        <x:v>755</x:v>
      </x:c>
      <x:c r="D42" s="11" t="s">
        <x:v>570</x:v>
      </x:c>
      <x:c r="E42" s="11" t="s">
        <x:v>9</x:v>
      </x:c>
      <x:c r="F42" s="4" t="s">
        <x:v>692</x:v>
      </x:c>
      <x:c r="G42" s="4" t="s">
        <x:v>756</x:v>
      </x:c>
      <x:c r="H42" s="4" t="s">
        <x:v>757</x:v>
      </x:c>
      <x:c r="I42" s="4" t="s">
        <x:v>580</x:v>
      </x:c>
      <x:c r="J42" s="11" t="s">
        <x:v>12</x:v>
      </x:c>
      <x:c r="K42" s="4"/>
      <x:c r="L42" s="4"/>
      <x:c r="M42" s="9"/>
      <x:c r="N42" s="4"/>
    </x:row>
    <x:row r="43" ht="57.95000076293945" customHeight="1">
      <x:c r="A43" s="7" t="s">
        <x:v>758</x:v>
      </x:c>
      <x:c r="B43" s="4" t="s">
        <x:v>177</x:v>
      </x:c>
      <x:c r="C43" s="4" t="s">
        <x:v>759</x:v>
      </x:c>
      <x:c r="D43" s="11" t="s">
        <x:v>570</x:v>
      </x:c>
      <x:c r="E43" s="11" t="s">
        <x:v>9</x:v>
      </x:c>
      <x:c r="F43" s="4" t="s">
        <x:v>760</x:v>
      </x:c>
      <x:c r="G43" s="4" t="s">
        <x:v>761</x:v>
      </x:c>
      <x:c r="H43" s="4" t="s">
        <x:v>762</x:v>
      </x:c>
      <x:c r="I43" s="4" t="s">
        <x:v>580</x:v>
      </x:c>
      <x:c r="J43" s="11" t="s">
        <x:v>12</x:v>
      </x:c>
      <x:c r="K43" s="4"/>
      <x:c r="L43" s="4"/>
      <x:c r="M43" s="9"/>
      <x:c r="N43" s="4"/>
    </x:row>
    <x:row r="44" ht="57.95000076293945" customHeight="1">
      <x:c r="A44" s="7" t="s">
        <x:v>763</x:v>
      </x:c>
      <x:c r="B44" s="4" t="s">
        <x:v>177</x:v>
      </x:c>
      <x:c r="C44" s="4" t="s">
        <x:v>764</x:v>
      </x:c>
      <x:c r="D44" s="11" t="s">
        <x:v>570</x:v>
      </x:c>
      <x:c r="E44" s="11" t="s">
        <x:v>9</x:v>
      </x:c>
      <x:c r="F44" s="4" t="s">
        <x:v>355</x:v>
      </x:c>
      <x:c r="G44" s="4" t="s">
        <x:v>765</x:v>
      </x:c>
      <x:c r="H44" s="4" t="s">
        <x:v>766</x:v>
      </x:c>
      <x:c r="I44" s="4" t="s">
        <x:v>580</x:v>
      </x:c>
      <x:c r="J44" s="11" t="s">
        <x:v>12</x:v>
      </x:c>
      <x:c r="K44" s="4"/>
      <x:c r="L44" s="4"/>
      <x:c r="M44" s="9"/>
      <x:c r="N44" s="4"/>
    </x:row>
    <x:row r="45" ht="57.95000076293945" customHeight="1">
      <x:c r="A45" s="7" t="s">
        <x:v>767</x:v>
      </x:c>
      <x:c r="B45" s="4" t="s">
        <x:v>478</x:v>
      </x:c>
      <x:c r="C45" s="4" t="s">
        <x:v>768</x:v>
      </x:c>
      <x:c r="D45" s="11" t="s">
        <x:v>570</x:v>
      </x:c>
      <x:c r="E45" s="11" t="s">
        <x:v>7</x:v>
      </x:c>
      <x:c r="F45" s="4" t="s">
        <x:v>769</x:v>
      </x:c>
      <x:c r="G45" s="4" t="s">
        <x:v>770</x:v>
      </x:c>
      <x:c r="H45" s="4" t="s">
        <x:v>771</x:v>
      </x:c>
      <x:c r="I45" s="4" t="s">
        <x:v>580</x:v>
      </x:c>
      <x:c r="J45" s="11" t="s">
        <x:v>12</x:v>
      </x:c>
      <x:c r="K45" s="4"/>
      <x:c r="L45" s="4"/>
      <x:c r="M45" s="9"/>
      <x:c r="N45" s="4"/>
    </x:row>
    <x:row r="46" ht="57.95000076293945" customHeight="1">
      <x:c r="A46" s="7" t="s">
        <x:v>772</x:v>
      </x:c>
      <x:c r="B46" s="4" t="s">
        <x:v>478</x:v>
      </x:c>
      <x:c r="C46" s="4" t="s">
        <x:v>773</x:v>
      </x:c>
      <x:c r="D46" s="11" t="s">
        <x:v>77</x:v>
      </x:c>
      <x:c r="E46" s="11" t="s">
        <x:v>9</x:v>
      </x:c>
      <x:c r="F46" s="4" t="s">
        <x:v>774</x:v>
      </x:c>
      <x:c r="G46" s="4" t="s">
        <x:v>775</x:v>
      </x:c>
      <x:c r="H46" s="4" t="s">
        <x:v>776</x:v>
      </x:c>
      <x:c r="I46" s="4" t="s">
        <x:v>580</x:v>
      </x:c>
      <x:c r="J46" s="11" t="s">
        <x:v>12</x:v>
      </x:c>
      <x:c r="K46" s="4"/>
      <x:c r="L46" s="4"/>
      <x:c r="M46" s="9"/>
      <x:c r="N46" s="4"/>
    </x:row>
    <x:row r="47" ht="57.95000076293945" customHeight="1">
      <x:c r="A47" s="7" t="s">
        <x:v>777</x:v>
      </x:c>
      <x:c r="B47" s="4" t="s">
        <x:v>478</x:v>
      </x:c>
      <x:c r="C47" s="4" t="s">
        <x:v>778</x:v>
      </x:c>
      <x:c r="D47" s="11" t="s">
        <x:v>706</x:v>
      </x:c>
      <x:c r="E47" s="11" t="s">
        <x:v>9</x:v>
      </x:c>
      <x:c r="F47" s="4" t="s">
        <x:v>779</x:v>
      </x:c>
      <x:c r="G47" s="4" t="s">
        <x:v>780</x:v>
      </x:c>
      <x:c r="H47" s="4" t="s">
        <x:v>781</x:v>
      </x:c>
      <x:c r="I47" s="4" t="s">
        <x:v>580</x:v>
      </x:c>
      <x:c r="J47" s="11" t="s">
        <x:v>12</x:v>
      </x:c>
      <x:c r="K47" s="4"/>
      <x:c r="L47" s="4"/>
      <x:c r="M47" s="9"/>
      <x:c r="N47" s="4"/>
    </x:row>
    <x:row r="48" ht="57.95000076293945" customHeight="1">
      <x:c r="A48" s="7" t="s">
        <x:v>782</x:v>
      </x:c>
      <x:c r="B48" s="4" t="s">
        <x:v>478</x:v>
      </x:c>
      <x:c r="C48" s="4" t="s">
        <x:v>783</x:v>
      </x:c>
      <x:c r="D48" s="11" t="s">
        <x:v>784</x:v>
      </x:c>
      <x:c r="E48" s="11" t="s">
        <x:v>7</x:v>
      </x:c>
      <x:c r="F48" s="4" t="s">
        <x:v>785</x:v>
      </x:c>
      <x:c r="G48" s="4" t="s">
        <x:v>786</x:v>
      </x:c>
      <x:c r="H48" s="4" t="s">
        <x:v>787</x:v>
      </x:c>
      <x:c r="I48" s="4" t="s">
        <x:v>788</x:v>
      </x:c>
      <x:c r="J48" s="11" t="s">
        <x:v>12</x:v>
      </x:c>
      <x:c r="K48" s="4"/>
      <x:c r="L48" s="4"/>
      <x:c r="M48" s="9"/>
      <x:c r="N48" s="4"/>
    </x:row>
    <x:row r="49" ht="57.95000076293945" customHeight="1">
      <x:c r="A49" s="7" t="s">
        <x:v>789</x:v>
      </x:c>
      <x:c r="B49" s="4" t="s">
        <x:v>521</x:v>
      </x:c>
      <x:c r="C49" s="4" t="s">
        <x:v>790</x:v>
      </x:c>
      <x:c r="D49" s="11" t="s">
        <x:v>570</x:v>
      </x:c>
      <x:c r="E49" s="11" t="s">
        <x:v>7</x:v>
      </x:c>
      <x:c r="F49" s="4" t="s">
        <x:v>769</x:v>
      </x:c>
      <x:c r="G49" s="4" t="s">
        <x:v>791</x:v>
      </x:c>
      <x:c r="H49" s="4" t="s">
        <x:v>792</x:v>
      </x:c>
      <x:c r="I49" s="4" t="s">
        <x:v>580</x:v>
      </x:c>
      <x:c r="J49" s="11" t="s">
        <x:v>12</x:v>
      </x:c>
      <x:c r="K49" s="4"/>
      <x:c r="L49" s="4"/>
      <x:c r="M49" s="9"/>
      <x:c r="N49" s="4"/>
    </x:row>
    <x:row r="50" ht="57.95000076293945" customHeight="1">
      <x:c r="A50" s="7" t="s">
        <x:v>793</x:v>
      </x:c>
      <x:c r="B50" s="4" t="s">
        <x:v>521</x:v>
      </x:c>
      <x:c r="C50" s="4" t="s">
        <x:v>794</x:v>
      </x:c>
      <x:c r="D50" s="11" t="s">
        <x:v>77</x:v>
      </x:c>
      <x:c r="E50" s="11" t="s">
        <x:v>9</x:v>
      </x:c>
      <x:c r="F50" s="4" t="s">
        <x:v>795</x:v>
      </x:c>
      <x:c r="G50" s="4" t="s">
        <x:v>796</x:v>
      </x:c>
      <x:c r="H50" s="4" t="s">
        <x:v>797</x:v>
      </x:c>
      <x:c r="I50" s="4" t="s">
        <x:v>580</x:v>
      </x:c>
      <x:c r="J50" s="11" t="s">
        <x:v>12</x:v>
      </x:c>
      <x:c r="K50" s="4"/>
      <x:c r="L50" s="4"/>
      <x:c r="M50" s="9"/>
      <x:c r="N50" s="4"/>
    </x:row>
    <x:row r="51" ht="57.95000076293945" customHeight="1">
      <x:c r="A51" s="7" t="s">
        <x:v>798</x:v>
      </x:c>
      <x:c r="B51" s="4" t="s">
        <x:v>521</x:v>
      </x:c>
      <x:c r="C51" s="4" t="s">
        <x:v>783</x:v>
      </x:c>
      <x:c r="D51" s="11" t="s">
        <x:v>784</x:v>
      </x:c>
      <x:c r="E51" s="11" t="s">
        <x:v>7</x:v>
      </x:c>
      <x:c r="F51" s="4" t="s">
        <x:v>785</x:v>
      </x:c>
      <x:c r="G51" s="4" t="s">
        <x:v>799</x:v>
      </x:c>
      <x:c r="H51" s="4" t="s">
        <x:v>800</x:v>
      </x:c>
      <x:c r="I51" s="4" t="s">
        <x:v>788</x:v>
      </x:c>
      <x:c r="J51" s="11" t="s">
        <x:v>12</x:v>
      </x:c>
      <x:c r="K51" s="4"/>
      <x:c r="L51" s="4"/>
      <x:c r="M51" s="9"/>
      <x:c r="N51" s="4"/>
    </x:row>
    <x:row r="52" ht="57.95000076293945" customHeight="1">
      <x:c r="A52" s="7" t="s">
        <x:v>801</x:v>
      </x:c>
      <x:c r="B52" s="4" t="s">
        <x:v>521</x:v>
      </x:c>
      <x:c r="C52" s="4" t="s">
        <x:v>802</x:v>
      </x:c>
      <x:c r="D52" s="11" t="s">
        <x:v>638</x:v>
      </x:c>
      <x:c r="E52" s="11" t="s">
        <x:v>11</x:v>
      </x:c>
      <x:c r="F52" s="4" t="s">
        <x:v>779</x:v>
      </x:c>
      <x:c r="G52" s="4" t="s">
        <x:v>803</x:v>
      </x:c>
      <x:c r="H52" s="4" t="s">
        <x:v>804</x:v>
      </x:c>
      <x:c r="I52" s="4" t="s">
        <x:v>580</x:v>
      </x:c>
      <x:c r="J52" s="11" t="s">
        <x:v>12</x:v>
      </x:c>
      <x:c r="K52" s="4"/>
      <x:c r="L52" s="4"/>
      <x:c r="M52" s="9"/>
      <x:c r="N52" s="4"/>
    </x:row>
    <x:row r="53" ht="57.95000076293945" customHeight="1">
      <x:c r="A53" s="7" t="s">
        <x:v>805</x:v>
      </x:c>
      <x:c r="B53" s="4" t="s">
        <x:v>666</x:v>
      </x:c>
      <x:c r="C53" s="4" t="s">
        <x:v>806</x:v>
      </x:c>
      <x:c r="D53" s="11" t="s">
        <x:v>666</x:v>
      </x:c>
      <x:c r="E53" s="11" t="s">
        <x:v>9</x:v>
      </x:c>
      <x:c r="F53" s="4" t="s">
        <x:v>807</x:v>
      </x:c>
      <x:c r="G53" s="4" t="s">
        <x:v>808</x:v>
      </x:c>
      <x:c r="H53" s="4" t="s">
        <x:v>809</x:v>
      </x:c>
      <x:c r="I53" s="4" t="s">
        <x:v>810</x:v>
      </x:c>
      <x:c r="J53" s="11" t="s">
        <x:v>12</x:v>
      </x:c>
      <x:c r="K53" s="4"/>
      <x:c r="L53" s="4"/>
      <x:c r="M53" s="9"/>
      <x:c r="N53" s="4"/>
    </x:row>
    <x:row r="54" ht="57.95000076293945" customHeight="1">
      <x:c r="A54" s="7" t="s">
        <x:v>811</x:v>
      </x:c>
      <x:c r="B54" s="4" t="s">
        <x:v>666</x:v>
      </x:c>
      <x:c r="C54" s="4" t="s">
        <x:v>812</x:v>
      </x:c>
      <x:c r="D54" s="11" t="s">
        <x:v>666</x:v>
      </x:c>
      <x:c r="E54" s="11" t="s">
        <x:v>9</x:v>
      </x:c>
      <x:c r="F54" s="4" t="s">
        <x:v>813</x:v>
      </x:c>
      <x:c r="G54" s="4" t="s">
        <x:v>814</x:v>
      </x:c>
      <x:c r="H54" s="4" t="s">
        <x:v>815</x:v>
      </x:c>
      <x:c r="I54" s="4" t="s">
        <x:v>810</x:v>
      </x:c>
      <x:c r="J54" s="11" t="s">
        <x:v>12</x:v>
      </x:c>
      <x:c r="K54" s="4"/>
      <x:c r="L54" s="4"/>
      <x:c r="M54" s="9"/>
      <x:c r="N54" s="4"/>
    </x:row>
    <x:row r="55" ht="57.95000076293945" customHeight="1">
      <x:c r="A55" s="7" t="s">
        <x:v>816</x:v>
      </x:c>
      <x:c r="B55" s="4" t="s">
        <x:v>817</x:v>
      </x:c>
      <x:c r="C55" s="4" t="s">
        <x:v>818</x:v>
      </x:c>
      <x:c r="D55" s="11" t="s">
        <x:v>817</x:v>
      </x:c>
      <x:c r="E55" s="11" t="s">
        <x:v>11</x:v>
      </x:c>
      <x:c r="F55" s="4" t="s">
        <x:v>623</x:v>
      </x:c>
      <x:c r="G55" s="4" t="s">
        <x:v>819</x:v>
      </x:c>
      <x:c r="H55" s="4" t="s">
        <x:v>820</x:v>
      </x:c>
      <x:c r="I55" s="4" t="s">
        <x:v>574</x:v>
      </x:c>
      <x:c r="J55" s="11" t="s">
        <x:v>12</x:v>
      </x:c>
      <x:c r="K55" s="4"/>
      <x:c r="L55" s="4"/>
      <x:c r="M55" s="9"/>
      <x:c r="N55" s="4"/>
    </x:row>
    <x:row r="56" ht="57.95000076293945" customHeight="1">
      <x:c r="A56" s="7" t="s">
        <x:v>821</x:v>
      </x:c>
      <x:c r="B56" s="4" t="s">
        <x:v>817</x:v>
      </x:c>
      <x:c r="C56" s="4" t="s">
        <x:v>822</x:v>
      </x:c>
      <x:c r="D56" s="11" t="s">
        <x:v>817</x:v>
      </x:c>
      <x:c r="E56" s="11" t="s">
        <x:v>11</x:v>
      </x:c>
      <x:c r="F56" s="4" t="s">
        <x:v>823</x:v>
      </x:c>
      <x:c r="G56" s="4" t="s">
        <x:v>824</x:v>
      </x:c>
      <x:c r="H56" s="4" t="s">
        <x:v>825</x:v>
      </x:c>
      <x:c r="I56" s="4" t="s">
        <x:v>580</x:v>
      </x:c>
      <x:c r="J56" s="11" t="s">
        <x:v>12</x:v>
      </x:c>
      <x:c r="K56" s="4"/>
      <x:c r="L56" s="4"/>
      <x:c r="M56" s="9"/>
      <x:c r="N56" s="4"/>
    </x:row>
    <x:row r="57" ht="57.95000076293945" customHeight="1">
      <x:c r="A57" s="8" t="s">
        <x:v>826</x:v>
      </x:c>
      <x:c r="B57" s="5" t="s">
        <x:v>109</x:v>
      </x:c>
      <x:c r="C57" s="5" t="s">
        <x:v>827</x:v>
      </x:c>
      <x:c r="D57" s="12" t="s">
        <x:v>109</x:v>
      </x:c>
      <x:c r="E57" s="12" t="s">
        <x:v>7</x:v>
      </x:c>
      <x:c r="F57" s="5" t="s">
        <x:v>828</x:v>
      </x:c>
      <x:c r="G57" s="5" t="s">
        <x:v>829</x:v>
      </x:c>
      <x:c r="H57" s="5" t="s">
        <x:v>830</x:v>
      </x:c>
      <x:c r="I57" s="5" t="s">
        <x:v>580</x:v>
      </x:c>
      <x:c r="J57" s="11" t="s">
        <x:v>12</x:v>
      </x:c>
      <x:c r="K57" s="5"/>
      <x:c r="L57" s="5"/>
      <x:c r="M57" s="10"/>
      <x:c r="N57" s="5"/>
    </x:row>
    <x:row r="58" ht="48" hidden="0" customHeight="1">
      <x:c r="A58" s="28" t="str">
        <x:v>UI-053</x:v>
      </x:c>
      <x:c r="B58" s="29" t="str">
        <x:v>Login</x:v>
      </x:c>
      <x:c r="C58" s="29" t="str">
        <x:v>Admin đăng nhập chuyển vào dashboard quản trị</x:v>
      </x:c>
      <x:c r="D58" s="30" t="str">
        <x:v>Functional</x:v>
      </x:c>
      <x:c r="E58" s="30" t="str">
        <x:v>Critical</x:v>
      </x:c>
      <x:c r="F58" s="29" t="str">
        <x:v>Có tài khoản admin active.</x:v>
      </x:c>
      <x:c r="G58" s="29" t="str">
        <x:v>1. Mở /login.
2. Nhập đúng tài khoản admin.
3. Submit và chờ xác minh session.</x:v>
      </x:c>
      <x:c r="H58" s="29" t="str">
        <x:v>Chuyển /admin/dashboard; sidebar/admin account đúng người dùng.</x:v>
      </x:c>
      <x:c r="I58" s="29" t="str">
        <x:v>Chrome 1440x900 / 390x844</x:v>
      </x:c>
      <x:c r="J58" s="30" t="str">
        <x:v>Not Run</x:v>
      </x:c>
      <x:c r="K58" s="29"/>
      <x:c r="L58" s="29"/>
      <x:c r="M58" s="31"/>
      <x:c r="N58" s="29" t="str">
        <x:v>Nguồn: assets/js/login.js và admin-shell.js.</x:v>
      </x:c>
    </x:row>
    <x:row r="59" ht="48" hidden="0" customHeight="1">
      <x:c r="A59" s="32" t="str">
        <x:v>UI-054</x:v>
      </x:c>
      <x:c r="B59" s="33" t="str">
        <x:v>Admin Access</x:v>
      </x:c>
      <x:c r="C59" s="33" t="str">
        <x:v>Giả cached role không mở được admin</x:v>
      </x:c>
      <x:c r="D59" s="34" t="str">
        <x:v>Security</x:v>
      </x:c>
      <x:c r="E59" s="34" t="str">
        <x:v>Critical</x:v>
      </x:c>
      <x:c r="F59" s="33" t="str">
        <x:v>Đăng nhập customer.</x:v>
      </x:c>
      <x:c r="G59" s="33" t="str">
        <x:v>1. Sửa localStorage role thành admin.
2. Mở /admin/products, /admin/orders, /admin/vouchers.</x:v>
      </x:c>
      <x:c r="H59" s="33" t="str">
        <x:v>Server xác nhận customer; không hiện dữ liệu quản trị và điều hướng khỏi admin.</x:v>
      </x:c>
      <x:c r="I59" s="33" t="str">
        <x:v>Chrome 1440x900 / 390x844</x:v>
      </x:c>
      <x:c r="J59" s="30" t="str">
        <x:v>Not Run</x:v>
      </x:c>
      <x:c r="K59" s="33"/>
      <x:c r="L59" s="33"/>
      <x:c r="M59" s="35"/>
      <x:c r="N59" s="33" t="str"/>
    </x:row>
    <x:row r="60" ht="48" hidden="0" customHeight="1">
      <x:c r="A60" s="28" t="str">
        <x:v>UI-055</x:v>
      </x:c>
      <x:c r="B60" s="29" t="str">
        <x:v>Admin Access</x:v>
      </x:c>
      <x:c r="C60" s="29" t="str">
        <x:v>Lỗi kết nối không làm lộ nội dung bảo vệ</x:v>
      </x:c>
      <x:c r="D60" s="30" t="str">
        <x:v>Security</x:v>
      </x:c>
      <x:c r="E60" s="30" t="str">
        <x:v>High</x:v>
      </x:c>
      <x:c r="F60" s="29" t="str">
        <x:v>Trang admin đang xác minh token; chặn /api/users/me.</x:v>
      </x:c>
      <x:c r="G60" s="29" t="str">
        <x:v>1. Mở admin.
2. Giả lập lỗi mạng.
3. Bấm Try again sau khi phục hồi mạng.</x:v>
      </x:c>
      <x:c r="H60" s="29" t="str">
        <x:v>Nội dung admin giữ ẩn trong lúc lỗi; có retry; không dùng cached role để bỏ qua.</x:v>
      </x:c>
      <x:c r="I60" s="29" t="str">
        <x:v>Chrome 1440x900 / 390x844</x:v>
      </x:c>
      <x:c r="J60" s="30" t="str">
        <x:v>Not Run</x:v>
      </x:c>
      <x:c r="K60" s="29"/>
      <x:c r="L60" s="29"/>
      <x:c r="M60" s="31"/>
      <x:c r="N60" s="29" t="str"/>
    </x:row>
    <x:row r="61" ht="48" hidden="0" customHeight="1">
      <x:c r="A61" s="32" t="str">
        <x:v>UI-056</x:v>
      </x:c>
      <x:c r="B61" s="33" t="str">
        <x:v>Register</x:v>
      </x:c>
      <x:c r="C61" s="33" t="str">
        <x:v>User mới thấy voucher tự cấp sau đăng ký</x:v>
      </x:c>
      <x:c r="D61" s="34" t="str">
        <x:v>Integration</x:v>
      </x:c>
      <x:c r="E61" s="34" t="str">
        <x:v>High</x:v>
      </x:c>
      <x:c r="F61" s="33" t="str">
        <x:v>Có chiến dịch tự cấp hợp lệ; dùng email mới.</x:v>
      </x:c>
      <x:c r="G61" s="33" t="str">
        <x:v>1. Đăng ký tài khoản customer mới.
2. Mở checkout có giỏ hàng.
3. Xem danh sách mã sở hữu.</x:v>
      </x:c>
      <x:c r="H61" s="33" t="str">
        <x:v>Mã tự cấp thuộc tài khoản mới xuất hiện đúng điều kiện và hạn; không tự gán các mã ngoài chiến dịch.</x:v>
      </x:c>
      <x:c r="I61" s="33" t="str">
        <x:v>Chrome 1440x900 / 390x844</x:v>
      </x:c>
      <x:c r="J61" s="30" t="str">
        <x:v>Not Run</x:v>
      </x:c>
      <x:c r="K61" s="33"/>
      <x:c r="L61" s="33"/>
      <x:c r="M61" s="35"/>
      <x:c r="N61" s="33" t="str"/>
    </x:row>
    <x:row r="62" ht="48" hidden="0" customHeight="1">
      <x:c r="A62" s="28" t="str">
        <x:v>UI-057</x:v>
      </x:c>
      <x:c r="B62" s="29" t="str">
        <x:v>Shared Header</x:v>
      </x:c>
      <x:c r="C62" s="29" t="str">
        <x:v>Search icon mở input và gợi ý thật</x:v>
      </x:c>
      <x:c r="D62" s="30" t="str">
        <x:v>Functional</x:v>
      </x:c>
      <x:c r="E62" s="30" t="str">
        <x:v>High</x:v>
      </x:c>
      <x:c r="F62" s="29" t="str">
        <x:v>Đã đăng nhập; có sản phẩm khớp.</x:v>
      </x:c>
      <x:c r="G62" s="29" t="str">
        <x:v>1. Bấm biểu tượng search.
2. Gõ tối thiểu 2 ký tự.
3. Chờ gợi ý rồi bấm một item.</x:v>
      </x:c>
      <x:c r="H62" s="29" t="str">
        <x:v>Hiện input/gợi ý từ API; bấm item sang /products/{id} đúng bản ghi.</x:v>
      </x:c>
      <x:c r="I62" s="29" t="str">
        <x:v>Chrome 1440x900 / 390x844</x:v>
      </x:c>
      <x:c r="J62" s="30" t="str">
        <x:v>Not Run</x:v>
      </x:c>
      <x:c r="K62" s="29"/>
      <x:c r="L62" s="29"/>
      <x:c r="M62" s="31"/>
      <x:c r="N62" s="29" t="str"/>
    </x:row>
    <x:row r="63" ht="48" hidden="0" customHeight="1">
      <x:c r="A63" s="32" t="str">
        <x:v>UI-058</x:v>
      </x:c>
      <x:c r="B63" s="33" t="str">
        <x:v>Shared Header</x:v>
      </x:c>
      <x:c r="C63" s="33" t="str">
        <x:v>Search rỗng/lỗi không giữ gợi ý cũ</x:v>
      </x:c>
      <x:c r="D63" s="34" t="str">
        <x:v>Negative</x:v>
      </x:c>
      <x:c r="E63" s="34" t="str">
        <x:v>Medium</x:v>
      </x:c>
      <x:c r="F63" s="33" t="str">
        <x:v>Search đã có kết quả.</x:v>
      </x:c>
      <x:c r="G63" s="33" t="str">
        <x:v>1. Xoá input hoặc nhập query không khớp.
2. Giả lập API lỗi.
3. Nhập lại từ khoá hợp lệ.</x:v>
      </x:c>
      <x:c r="H63" s="33" t="str">
        <x:v>Không hiện nhầm kết quả cũ; có empty/error rõ; tìm lại hoạt động.</x:v>
      </x:c>
      <x:c r="I63" s="33" t="str">
        <x:v>Chrome 1440x900 / 390x844</x:v>
      </x:c>
      <x:c r="J63" s="30" t="str">
        <x:v>Not Run</x:v>
      </x:c>
      <x:c r="K63" s="33"/>
      <x:c r="L63" s="33"/>
      <x:c r="M63" s="35"/>
      <x:c r="N63" s="33" t="str"/>
    </x:row>
    <x:row r="64" ht="48" hidden="0" customHeight="1">
      <x:c r="A64" s="28" t="str">
        <x:v>UI-059</x:v>
      </x:c>
      <x:c r="B64" s="29" t="str">
        <x:v>Shared Header</x:v>
      </x:c>
      <x:c r="C64" s="29" t="str">
        <x:v>Gợi ý chậm không ghi đè từ khoá mới</x:v>
      </x:c>
      <x:c r="D64" s="30" t="str">
        <x:v>Concurrency</x:v>
      </x:c>
      <x:c r="E64" s="30" t="str">
        <x:v>High</x:v>
      </x:c>
      <x:c r="F64" s="29" t="str">
        <x:v>Có hai query trả về với độ trễ khác nhau.</x:v>
      </x:c>
      <x:c r="G64" s="29" t="str">
        <x:v>1. Gõ query A rồi B nhanh.
2. Cho response A về sau B.</x:v>
      </x:c>
      <x:c r="H64" s="29" t="str">
        <x:v>Chỉ hiển thị gợi ý của query hiện tại; click không sang sản phẩm của query cũ.</x:v>
      </x:c>
      <x:c r="I64" s="29" t="str">
        <x:v>Chrome 1440x900 / 390x844</x:v>
      </x:c>
      <x:c r="J64" s="30" t="str">
        <x:v>Not Run</x:v>
      </x:c>
      <x:c r="K64" s="29"/>
      <x:c r="L64" s="29"/>
      <x:c r="M64" s="31"/>
      <x:c r="N64" s="29" t="str"/>
    </x:row>
    <x:row r="65" ht="48" hidden="0" customHeight="1">
      <x:c r="A65" s="32" t="str">
        <x:v>UI-060</x:v>
      </x:c>
      <x:c r="B65" s="33" t="str">
        <x:v>Shared Header</x:v>
      </x:c>
      <x:c r="C65" s="33" t="str">
        <x:v>Menu profile có lối vào Cart và Order History</x:v>
      </x:c>
      <x:c r="D65" s="34" t="str">
        <x:v>Functional</x:v>
      </x:c>
      <x:c r="E65" s="34" t="str">
        <x:v>High</x:v>
      </x:c>
      <x:c r="F65" s="33" t="str">
        <x:v>Đã đăng nhập; cart có hai dòng sản phẩm.</x:v>
      </x:c>
      <x:c r="G65" s="33" t="str">
        <x:v>1. Hover avatar.
2. Di chuột xuống menu.
3. Chọn Cart, rồi Order History.</x:v>
      </x:c>
      <x:c r="H65" s="33" t="str">
        <x:v>Menu không đóng sớm; đúng route; số bản ghi cart hiển thị đúng theo dữ liệu backend.</x:v>
      </x:c>
      <x:c r="I65" s="33" t="str">
        <x:v>Chrome 1440x900 / 390x844</x:v>
      </x:c>
      <x:c r="J65" s="30" t="str">
        <x:v>Not Run</x:v>
      </x:c>
      <x:c r="K65" s="33"/>
      <x:c r="L65" s="33"/>
      <x:c r="M65" s="35"/>
      <x:c r="N65" s="33" t="str"/>
    </x:row>
    <x:row r="66" ht="48" hidden="0" customHeight="1">
      <x:c r="A66" s="28" t="str">
        <x:v>UI-061</x:v>
      </x:c>
      <x:c r="B66" s="29" t="str">
        <x:v>Products</x:v>
      </x:c>
      <x:c r="C66" s="29" t="str">
        <x:v>Sidebar category fetch API thay vì chỉ cuộn trang</x:v>
      </x:c>
      <x:c r="D66" s="30" t="str">
        <x:v>Integration</x:v>
      </x:c>
      <x:c r="E66" s="30" t="str">
        <x:v>High</x:v>
      </x:c>
      <x:c r="F66" s="29" t="str">
        <x:v>Đã đăng nhập; có nhiều danh mục.</x:v>
      </x:c>
      <x:c r="G66" s="29" t="str">
        <x:v>1. Mở Products.
2. Bật Network.
3. Chọn Cake ở sidebar.</x:v>
      </x:c>
      <x:c r="H66" s="29" t="str">
        <x:v>Request có category=Cake, page=1; chỉ hiển thị Cake; active category rõ ràng.</x:v>
      </x:c>
      <x:c r="I66" s="29" t="str">
        <x:v>Chrome 1440x900 / 390x844</x:v>
      </x:c>
      <x:c r="J66" s="30" t="str">
        <x:v>Not Run</x:v>
      </x:c>
      <x:c r="K66" s="29"/>
      <x:c r="L66" s="29"/>
      <x:c r="M66" s="31"/>
      <x:c r="N66" s="29" t="str">
        <x:v>Luồng mới thay hành vi cuộn section của UI-022 cũ.</x:v>
      </x:c>
    </x:row>
    <x:row r="67" ht="54" hidden="0" customHeight="1">
      <x:c r="A67" s="32" t="str">
        <x:v>UI-062</x:v>
      </x:c>
      <x:c r="B67" s="33" t="str">
        <x:v>Products</x:v>
      </x:c>
      <x:c r="C67" s="33" t="str">
        <x:v>Nhập khoảng giá tự fetch sau debounce</x:v>
      </x:c>
      <x:c r="D67" s="34" t="str">
        <x:v>Functional</x:v>
      </x:c>
      <x:c r="E67" s="34" t="str">
        <x:v>High</x:v>
      </x:c>
      <x:c r="F67" s="33" t="str">
        <x:v>Đã đăng nhập; danh sách đang hiện.</x:v>
      </x:c>
      <x:c r="G67" s="33" t="str">
        <x:v>1. Nhập min=100000 và max=200000 liên tiếp.
2. Chờ 350 ms sau lần gõ cuối.
3. Kiểm tra Network và card.</x:v>
      </x:c>
      <x:c r="H67" s="33" t="str">
        <x:v>Gộp thao tác gõ thành request hợp lệ; query có cả min/max; sản phẩm và số kết quả cập nhật.</x:v>
      </x:c>
      <x:c r="I67" s="33" t="str">
        <x:v>Chrome 1440x900 / 390x844</x:v>
      </x:c>
      <x:c r="J67" s="30" t="str">
        <x:v>Not Run</x:v>
      </x:c>
      <x:c r="K67" s="33"/>
      <x:c r="L67" s="33"/>
      <x:c r="M67" s="35"/>
      <x:c r="N67" s="33" t="str"/>
    </x:row>
    <x:row r="68" ht="48" hidden="0" customHeight="1">
      <x:c r="A68" s="28" t="str">
        <x:v>UI-063</x:v>
      </x:c>
      <x:c r="B68" s="29" t="str">
        <x:v>Products</x:v>
      </x:c>
      <x:c r="C68" s="29" t="str">
        <x:v>Range sai không fetch và không xoá kết quả đang xem</x:v>
      </x:c>
      <x:c r="D68" s="30" t="str">
        <x:v>Validation</x:v>
      </x:c>
      <x:c r="E68" s="30" t="str">
        <x:v>High</x:v>
      </x:c>
      <x:c r="F68" s="29" t="str">
        <x:v>Đã có danh sách hợp lệ.</x:v>
      </x:c>
      <x:c r="G68" s="29" t="str">
        <x:v>1. Nhập min lớn hơn max hoặc giá âm.
2. Chờ debounce rồi bấm Apply.</x:v>
      </x:c>
      <x:c r="H68" s="29" t="str">
        <x:v>Hiện lỗi phù hợp; không gửi request sai; giữ danh sách trước đó.</x:v>
      </x:c>
      <x:c r="I68" s="29" t="str">
        <x:v>Chrome 1440x900 / 390x844</x:v>
      </x:c>
      <x:c r="J68" s="30" t="str">
        <x:v>Not Run</x:v>
      </x:c>
      <x:c r="K68" s="29"/>
      <x:c r="L68" s="29"/>
      <x:c r="M68" s="31"/>
      <x:c r="N68" s="29" t="str"/>
    </x:row>
    <x:row r="69" ht="48" hidden="0" customHeight="1">
      <x:c r="A69" s="32" t="str">
        <x:v>UI-064</x:v>
      </x:c>
      <x:c r="B69" s="33" t="str">
        <x:v>Products</x:v>
      </x:c>
      <x:c r="C69" s="33" t="str">
        <x:v>Sắp thấp-cao và cao-thấp giữ bộ lọc</x:v>
      </x:c>
      <x:c r="D69" s="34" t="str">
        <x:v>Functional</x:v>
      </x:c>
      <x:c r="E69" s="34" t="str">
        <x:v>High</x:v>
      </x:c>
      <x:c r="F69" s="33" t="str">
        <x:v>Đang chọn category và khoảng giá.</x:v>
      </x:c>
      <x:c r="G69" s="33" t="str">
        <x:v>1. Chọn Price low to high.
2. Chọn Price high to low.
3. So thứ tự card và query.</x:v>
      </x:c>
      <x:c r="H69" s="33" t="str">
        <x:v>Sort đúng trên tập lọc hiện tại; không bỏ category/min/max hoặc đổi sang nhóm riêng.</x:v>
      </x:c>
      <x:c r="I69" s="33" t="str">
        <x:v>Chrome 1440x900 / 390x844</x:v>
      </x:c>
      <x:c r="J69" s="30" t="str">
        <x:v>Not Run</x:v>
      </x:c>
      <x:c r="K69" s="33"/>
      <x:c r="L69" s="33"/>
      <x:c r="M69" s="35"/>
      <x:c r="N69" s="33" t="str"/>
    </x:row>
    <x:row r="70" ht="48" hidden="0" customHeight="1">
      <x:c r="A70" s="28" t="str">
        <x:v>UI-065</x:v>
      </x:c>
      <x:c r="B70" s="29" t="str">
        <x:v>Products</x:v>
      </x:c>
      <x:c r="C70" s="29" t="str">
        <x:v>Load more giữ category/giá/sort</x:v>
      </x:c>
      <x:c r="D70" s="30" t="str">
        <x:v>Integration</x:v>
      </x:c>
      <x:c r="E70" s="30" t="str">
        <x:v>High</x:v>
      </x:c>
      <x:c r="F70" s="29" t="str">
        <x:v>Tập lọc có hơn một trang.</x:v>
      </x:c>
      <x:c r="G70" s="29" t="str">
        <x:v>1. Áp dụng filter.
2. Bấm Load more hai lần khi request đầu còn pending.</x:v>
      </x:c>
      <x:c r="H70" s="29" t="str">
        <x:v>Chỉ thêm một trang mỗi lần hợp lệ, giữ bộ lọc, không có card trùng hoặc nhảy thứ tự.</x:v>
      </x:c>
      <x:c r="I70" s="29" t="str">
        <x:v>Chrome 1440x900 / 390x844</x:v>
      </x:c>
      <x:c r="J70" s="30" t="str">
        <x:v>Not Run</x:v>
      </x:c>
      <x:c r="K70" s="29"/>
      <x:c r="L70" s="29"/>
      <x:c r="M70" s="31"/>
      <x:c r="N70" s="29" t="str"/>
    </x:row>
    <x:row r="71" ht="48" hidden="0" customHeight="1">
      <x:c r="A71" s="32" t="str">
        <x:v>UI-066</x:v>
      </x:c>
      <x:c r="B71" s="33" t="str">
        <x:v>Products</x:v>
      </x:c>
      <x:c r="C71" s="33" t="str">
        <x:v>Clear reset filter; All products chỉ bỏ category</x:v>
      </x:c>
      <x:c r="D71" s="34" t="str">
        <x:v>Functional</x:v>
      </x:c>
      <x:c r="E71" s="34" t="str">
        <x:v>Medium</x:v>
      </x:c>
      <x:c r="F71" s="33" t="str">
        <x:v>Đang chọn cả category, khoảng giá và sort.</x:v>
      </x:c>
      <x:c r="G71" s="33" t="str">
        <x:v>1. Chọn All products.
2. Kiểm tra min/max/sort còn giữ.
3. Bấm Clear filters.</x:v>
      </x:c>
      <x:c r="H71" s="33" t="str">
        <x:v>All chỉ bỏ category; Clear bỏ toàn bộ tiêu chí và đưa về trang đầu.</x:v>
      </x:c>
      <x:c r="I71" s="33" t="str">
        <x:v>Chrome 1440x900 / 390x844</x:v>
      </x:c>
      <x:c r="J71" s="30" t="str">
        <x:v>Not Run</x:v>
      </x:c>
      <x:c r="K71" s="33"/>
      <x:c r="L71" s="33"/>
      <x:c r="M71" s="35"/>
      <x:c r="N71" s="33" t="str"/>
    </x:row>
    <x:row r="72" ht="48" hidden="0" customHeight="1">
      <x:c r="A72" s="28" t="str">
        <x:v>UI-067</x:v>
      </x:c>
      <x:c r="B72" s="29" t="str">
        <x:v>Products</x:v>
      </x:c>
      <x:c r="C72" s="29" t="str">
        <x:v>Empty result vẫn giữ menu danh mục</x:v>
      </x:c>
      <x:c r="D72" s="30" t="str">
        <x:v>Negative</x:v>
      </x:c>
      <x:c r="E72" s="30" t="str">
        <x:v>Medium</x:v>
      </x:c>
      <x:c r="F72" s="29" t="str">
        <x:v>Có bộ lọc không khớp.</x:v>
      </x:c>
      <x:c r="G72" s="29" t="str">
        <x:v>1. Nhập giá không có kết quả.
2. Chọn lại danh mục.</x:v>
      </x:c>
      <x:c r="H72" s="29" t="str">
        <x:v>Hiện thông báo không có sản phẩm; menu danh mục còn dùng được; không chèn dữ liệu fake.</x:v>
      </x:c>
      <x:c r="I72" s="29" t="str">
        <x:v>Chrome 1440x900 / 390x844</x:v>
      </x:c>
      <x:c r="J72" s="30" t="str">
        <x:v>Not Run</x:v>
      </x:c>
      <x:c r="K72" s="29"/>
      <x:c r="L72" s="29"/>
      <x:c r="M72" s="31"/>
      <x:c r="N72" s="29" t="str"/>
    </x:row>
    <x:row r="73" ht="48" hidden="0" customHeight="1">
      <x:c r="A73" s="32" t="str">
        <x:v>UI-068</x:v>
      </x:c>
      <x:c r="B73" s="33" t="str">
        <x:v>Products</x:v>
      </x:c>
      <x:c r="C73" s="33" t="str">
        <x:v>Response cũ không ghi đè filter mới</x:v>
      </x:c>
      <x:c r="D73" s="34" t="str">
        <x:v>Concurrency</x:v>
      </x:c>
      <x:c r="E73" s="34" t="str">
        <x:v>High</x:v>
      </x:c>
      <x:c r="F73" s="33" t="str">
        <x:v>Mock API A chậm, B nhanh.</x:v>
      </x:c>
      <x:c r="G73" s="33" t="str">
        <x:v>1. Chọn filter A.
2. Đổi sang B trước khi A trả về.</x:v>
      </x:c>
      <x:c r="H73" s="33" t="str">
        <x:v>Danh sách, count và trạng thái chọn đều thuộc B sau khi cả hai response về.</x:v>
      </x:c>
      <x:c r="I73" s="33" t="str">
        <x:v>Chrome 1440x900 / 390x844</x:v>
      </x:c>
      <x:c r="J73" s="30" t="str">
        <x:v>Not Run</x:v>
      </x:c>
      <x:c r="K73" s="33"/>
      <x:c r="L73" s="33"/>
      <x:c r="M73" s="35"/>
      <x:c r="N73" s="33" t="str"/>
    </x:row>
    <x:row r="74" ht="48" hidden="0" customHeight="1">
      <x:c r="A74" s="28" t="str">
        <x:v>UI-069</x:v>
      </x:c>
      <x:c r="B74" s="29" t="str">
        <x:v>Products</x:v>
      </x:c>
      <x:c r="C74" s="29" t="str">
        <x:v>Đổi ngôn ngữ giữ bộ lọc đã chọn</x:v>
      </x:c>
      <x:c r="D74" s="30" t="str">
        <x:v>Regression</x:v>
      </x:c>
      <x:c r="E74" s="30" t="str">
        <x:v>Medium</x:v>
      </x:c>
      <x:c r="F74" s="29" t="str">
        <x:v>Đang có category/min/max/sort.</x:v>
      </x:c>
      <x:c r="G74" s="29" t="str">
        <x:v>1. Chuyển Việt/Anh.
2. Kiểm tra query và filter active.</x:v>
      </x:c>
      <x:c r="H74" s="29" t="str">
        <x:v>Dịch nhãn nhưng không bỏ filter; danh sách vẫn đúng dữ liệu đã chọn.</x:v>
      </x:c>
      <x:c r="I74" s="29" t="str">
        <x:v>Chrome 1440x900 / 390x844</x:v>
      </x:c>
      <x:c r="J74" s="30" t="str">
        <x:v>Not Run</x:v>
      </x:c>
      <x:c r="K74" s="29"/>
      <x:c r="L74" s="29"/>
      <x:c r="M74" s="31"/>
      <x:c r="N74" s="29" t="str"/>
    </x:row>
    <x:row r="75" ht="48" hidden="0" customHeight="1">
      <x:c r="A75" s="32" t="str">
        <x:v>UI-070</x:v>
      </x:c>
      <x:c r="B75" s="33" t="str">
        <x:v>Products</x:v>
      </x:c>
      <x:c r="C75" s="33" t="str">
        <x:v>Card chỉ có View Detail và Add To Cart, không Favorite</x:v>
      </x:c>
      <x:c r="D75" s="34" t="str">
        <x:v>Visual</x:v>
      </x:c>
      <x:c r="E75" s="34" t="str">
        <x:v>High</x:v>
      </x:c>
      <x:c r="F75" s="33" t="str">
        <x:v>Sản phẩm còn hàng.</x:v>
      </x:c>
      <x:c r="G75" s="33" t="str">
        <x:v>1. Mở Products.
2. Quan sát nút card.
3. Bấm Add To Cart và xem Network.</x:v>
      </x:c>
      <x:c r="H75" s="33" t="str">
        <x:v>Không có nút Favorite trên card; Add To Cart cập nhật cart, không tạo Order ngay.</x:v>
      </x:c>
      <x:c r="I75" s="33" t="str">
        <x:v>Chrome 1440x900 / 390x844</x:v>
      </x:c>
      <x:c r="J75" s="30" t="str">
        <x:v>Not Run</x:v>
      </x:c>
      <x:c r="K75" s="33"/>
      <x:c r="L75" s="33"/>
      <x:c r="M75" s="35"/>
      <x:c r="N75" s="33" t="str">
        <x:v>Luồng mới thay Favorite/Order Now cũ tại UI-024 và UI-026.</x:v>
      </x:c>
    </x:row>
    <x:row r="76" ht="48" hidden="0" customHeight="1">
      <x:c r="A76" s="28" t="str">
        <x:v>UI-071</x:v>
      </x:c>
      <x:c r="B76" s="29" t="str">
        <x:v>Products</x:v>
      </x:c>
      <x:c r="C76" s="29" t="str">
        <x:v>Hết hàng làm mờ và disable mọi thao tác card</x:v>
      </x:c>
      <x:c r="D76" s="30" t="str">
        <x:v>Business Rule</x:v>
      </x:c>
      <x:c r="E76" s="30" t="str">
        <x:v>High</x:v>
      </x:c>
      <x:c r="F76" s="29" t="str">
        <x:v>SP stock=0 hoặc out-of-stock.</x:v>
      </x:c>
      <x:c r="G76" s="29" t="str">
        <x:v>1. Quan sát badge/card.
2. Thử click ảnh, View Detail và Add To Cart.</x:v>
      </x:c>
      <x:c r="H76" s="29" t="str">
        <x:v>Có nhãn hết hàng; các nút bị disable, không điều hướng/POST cart từ card hết hàng.</x:v>
      </x:c>
      <x:c r="I76" s="29" t="str">
        <x:v>Chrome 1440x900 / 390x844</x:v>
      </x:c>
      <x:c r="J76" s="30" t="str">
        <x:v>Not Run</x:v>
      </x:c>
      <x:c r="K76" s="29"/>
      <x:c r="L76" s="29"/>
      <x:c r="M76" s="31"/>
      <x:c r="N76" s="29" t="str"/>
    </x:row>
    <x:row r="77" ht="48" hidden="0" customHeight="1">
      <x:c r="A77" s="32" t="str">
        <x:v>UI-072</x:v>
      </x:c>
      <x:c r="B77" s="33" t="str">
        <x:v>Products</x:v>
      </x:c>
      <x:c r="C77" s="33" t="str">
        <x:v>Filter sidebar và card vừa màn mobile</x:v>
      </x:c>
      <x:c r="D77" s="34" t="str">
        <x:v>Responsive</x:v>
      </x:c>
      <x:c r="E77" s="34" t="str">
        <x:v>Medium</x:v>
      </x:c>
      <x:c r="F77" s="33" t="str">
        <x:v>Mở ở 390x844 và desktop.</x:v>
      </x:c>
      <x:c r="G77" s="33" t="str">
        <x:v>1. Quan sát sidebar/controls.
2. Đổi filter và load more.</x:v>
      </x:c>
      <x:c r="H77" s="33" t="str">
        <x:v>Input/nút/count không chồng lấn hoặc tràn ngang; cả filter và card đều dùng được.</x:v>
      </x:c>
      <x:c r="I77" s="33" t="str">
        <x:v>Chrome 1440x900 / 390x844</x:v>
      </x:c>
      <x:c r="J77" s="30" t="str">
        <x:v>Not Run</x:v>
      </x:c>
      <x:c r="K77" s="33"/>
      <x:c r="L77" s="33"/>
      <x:c r="M77" s="35"/>
      <x:c r="N77" s="33" t="str"/>
    </x:row>
    <x:row r="78" ht="48" hidden="0" customHeight="1">
      <x:c r="A78" s="28" t="str">
        <x:v>UI-073</x:v>
      </x:c>
      <x:c r="B78" s="29" t="str">
        <x:v>Product Detail</x:v>
      </x:c>
      <x:c r="C78" s="29" t="str">
        <x:v>Gallery chỉ chứa ảnh của đúng bản ghi</x:v>
      </x:c>
      <x:c r="D78" s="30" t="str">
        <x:v>Regression</x:v>
      </x:c>
      <x:c r="E78" s="30" t="str">
        <x:v>High</x:v>
      </x:c>
      <x:c r="F78" s="29" t="str">
        <x:v>P1 có 1 ảnh; P2 có 3 ảnh khác.</x:v>
      </x:c>
      <x:c r="G78" s="29" t="str">
        <x:v>1. Mở P1 rồi P2 theo route.
2. Bấm từng thumbnail và reload.</x:v>
      </x:c>
      <x:c r="H78" s="29" t="str">
        <x:v>Chỉ hiển thị images của sản phẩm hiện tại; không lấy ảnh liên quan hoặc nhân bản thumbnail giả.</x:v>
      </x:c>
      <x:c r="I78" s="29" t="str">
        <x:v>Chrome 1440x900 / 390x844</x:v>
      </x:c>
      <x:c r="J78" s="30" t="str">
        <x:v>Not Run</x:v>
      </x:c>
      <x:c r="K78" s="29"/>
      <x:c r="L78" s="29"/>
      <x:c r="M78" s="31"/>
      <x:c r="N78" s="29" t="str"/>
    </x:row>
    <x:row r="79" ht="48" hidden="0" customHeight="1">
      <x:c r="A79" s="32" t="str">
        <x:v>UI-074</x:v>
      </x:c>
      <x:c r="B79" s="33" t="str">
        <x:v>Product Detail</x:v>
      </x:c>
      <x:c r="C79" s="33" t="str">
        <x:v>Ba thông số phản ánh dữ liệu admin đã lưu</x:v>
      </x:c>
      <x:c r="D79" s="34" t="str">
        <x:v>Integration</x:v>
      </x:c>
      <x:c r="E79" s="34" t="str">
        <x:v>High</x:v>
      </x:c>
      <x:c r="F79" s="33" t="str">
        <x:v>Admin vừa lưu weight=300.5, shelfLife=3, ingredients=[Flour,Butter].</x:v>
      </x:c>
      <x:c r="G79" s="33" t="str">
        <x:v>1. Mở detail đúng product ID.
2. Reload trang.</x:v>
      </x:c>
      <x:c r="H79" s="33" t="str">
        <x:v>Hiện 300.5g, 3 days và Flour, Butter; dữ liệu thiếu hiển thị trạng thái cập nhật rõ ràng.</x:v>
      </x:c>
      <x:c r="I79" s="33" t="str">
        <x:v>Chrome 1440x900 / 390x844</x:v>
      </x:c>
      <x:c r="J79" s="30" t="str">
        <x:v>Not Run</x:v>
      </x:c>
      <x:c r="K79" s="33"/>
      <x:c r="L79" s="33"/>
      <x:c r="M79" s="35"/>
      <x:c r="N79" s="33" t="str"/>
    </x:row>
    <x:row r="80" ht="48" hidden="0" customHeight="1">
      <x:c r="A80" s="28" t="str">
        <x:v>UI-075</x:v>
      </x:c>
      <x:c r="B80" s="29" t="str">
        <x:v>Product Detail</x:v>
      </x:c>
      <x:c r="C80" s="29" t="str">
        <x:v>Giới hạn quantity theo stock và căn giữa</x:v>
      </x:c>
      <x:c r="D80" s="30" t="str">
        <x:v>Boundary</x:v>
      </x:c>
      <x:c r="E80" s="30" t="str">
        <x:v>High</x:v>
      </x:c>
      <x:c r="F80" s="29" t="str">
        <x:v>SP active stock=2.</x:v>
      </x:c>
      <x:c r="G80" s="29" t="str">
        <x:v>1. Bấm tăng đến stock.
2. Bấm tăng tiếp/giảm tới 1.
3. Quan sát số và nút trên mobile.</x:v>
      </x:c>
      <x:c r="H80" s="29" t="str">
        <x:v>Quantity nằm trong 1..stock; chặn vượt biên; số không lệch hoặc làm dịch layout.</x:v>
      </x:c>
      <x:c r="I80" s="29" t="str">
        <x:v>Chrome 1440x900 / 390x844</x:v>
      </x:c>
      <x:c r="J80" s="30" t="str">
        <x:v>Not Run</x:v>
      </x:c>
      <x:c r="K80" s="29"/>
      <x:c r="L80" s="29"/>
      <x:c r="M80" s="31"/>
      <x:c r="N80" s="29" t="str"/>
    </x:row>
    <x:row r="81" ht="48" hidden="0" customHeight="1">
      <x:c r="A81" s="32" t="str">
        <x:v>UI-076</x:v>
      </x:c>
      <x:c r="B81" s="33" t="str">
        <x:v>Product Detail</x:v>
      </x:c>
      <x:c r="C81" s="33" t="str">
        <x:v>Favorite lưu đúng sản phẩm và đồng bộ Profile</x:v>
      </x:c>
      <x:c r="D81" s="34" t="str">
        <x:v>Integration</x:v>
      </x:c>
      <x:c r="E81" s="34" t="str">
        <x:v>High</x:v>
      </x:c>
      <x:c r="F81" s="33" t="str">
        <x:v>Đã đăng nhập.</x:v>
      </x:c>
      <x:c r="G81" s="33" t="str">
        <x:v>1. Bấm Favorite ở detail.
2. Mở Profile My Favorites.
3. Bỏ Favorite và reload.</x:v>
      </x:c>
      <x:c r="H81" s="33" t="str">
        <x:v>Lưu/bỏ đúng ID; trạng thái Saved và danh sách Profile đồng bộ server.</x:v>
      </x:c>
      <x:c r="I81" s="33" t="str">
        <x:v>Chrome 1440x900 / 390x844</x:v>
      </x:c>
      <x:c r="J81" s="30" t="str">
        <x:v>Not Run</x:v>
      </x:c>
      <x:c r="K81" s="33"/>
      <x:c r="L81" s="33"/>
      <x:c r="M81" s="35"/>
      <x:c r="N81" s="33" t="str"/>
    </x:row>
    <x:row r="82" ht="48" hidden="0" customHeight="1">
      <x:c r="A82" s="28" t="str">
        <x:v>UI-077</x:v>
      </x:c>
      <x:c r="B82" s="29" t="str">
        <x:v>Product Detail</x:v>
      </x:c>
      <x:c r="C82" s="29" t="str">
        <x:v>Form review bị khoá khi chưa có đơn hợp lệ</x:v>
      </x:c>
      <x:c r="D82" s="30" t="str">
        <x:v>Business Rule</x:v>
      </x:c>
      <x:c r="E82" s="30" t="str">
        <x:v>Critical</x:v>
      </x:c>
      <x:c r="F82" s="29" t="str">
        <x:v>Customer chưa mua SP.</x:v>
      </x:c>
      <x:c r="G82" s="29" t="str">
        <x:v>1. Mở detail.
2. Quan sát sao/comment/upload/submit.
3. Thử submit qua handler.</x:v>
      </x:c>
      <x:c r="H82" s="29" t="str">
        <x:v>Form khoá theo eligibility backend; không mở chỉ vì có SP trong cart.</x:v>
      </x:c>
      <x:c r="I82" s="29" t="str">
        <x:v>Chrome 1440x900 / 390x844</x:v>
      </x:c>
      <x:c r="J82" s="30" t="str">
        <x:v>Not Run</x:v>
      </x:c>
      <x:c r="K82" s="29"/>
      <x:c r="L82" s="29"/>
      <x:c r="M82" s="31"/>
      <x:c r="N82" s="29" t="str"/>
    </x:row>
    <x:row r="83" ht="48" hidden="0" customHeight="1">
      <x:c r="A83" s="32" t="str">
        <x:v>UI-078</x:v>
      </x:c>
      <x:c r="B83" s="33" t="str">
        <x:v>Product Detail</x:v>
      </x:c>
      <x:c r="C83" s="33" t="str">
        <x:v>Đặt COD thành công mở quyền review</x:v>
      </x:c>
      <x:c r="D83" s="34" t="str">
        <x:v>Integration</x:v>
      </x:c>
      <x:c r="E83" s="34" t="str">
        <x:v>High</x:v>
      </x:c>
      <x:c r="F83" s="33" t="str">
        <x:v>User chưa review sản phẩm; có đơn COD In Progress chứa SP.</x:v>
      </x:c>
      <x:c r="G83" s="33" t="str">
        <x:v>1. Đặt COD thành công.
2. Quay lại detail và chờ eligibility.</x:v>
      </x:c>
      <x:c r="H83" s="33" t="str">
        <x:v>Form được enable theo phản hồi server; không bắt buộc đợi giao xong theo quy tắc hiện tại.</x:v>
      </x:c>
      <x:c r="I83" s="33" t="str">
        <x:v>Chrome 1440x900 / 390x844</x:v>
      </x:c>
      <x:c r="J83" s="30" t="str">
        <x:v>Not Run</x:v>
      </x:c>
      <x:c r="K83" s="33"/>
      <x:c r="L83" s="33"/>
      <x:c r="M83" s="35"/>
      <x:c r="N83" s="33" t="str"/>
    </x:row>
    <x:row r="84" ht="48" hidden="0" customHeight="1">
      <x:c r="A84" s="28" t="str">
        <x:v>UI-079</x:v>
      </x:c>
      <x:c r="B84" s="29" t="str">
        <x:v>Product Detail</x:v>
      </x:c>
      <x:c r="C84" s="29" t="str">
        <x:v>Online Pending không mở quyền review</x:v>
      </x:c>
      <x:c r="D84" s="30" t="str">
        <x:v>Business Rule</x:v>
      </x:c>
      <x:c r="E84" s="30" t="str">
        <x:v>High</x:v>
      </x:c>
      <x:c r="F84" s="29" t="str">
        <x:v>Có đơn online nhưng payment Pending.</x:v>
      </x:c>
      <x:c r="G84" s="29" t="str">
        <x:v>1. Mở detail.
2. Hoàn tất thanh toán sandbox và reload sau Paid.</x:v>
      </x:c>
      <x:c r="H84" s="29" t="str">
        <x:v>Pending còn khoá; sau backend xác minh Paid và đơn hợp lệ mới mở form.</x:v>
      </x:c>
      <x:c r="I84" s="29" t="str">
        <x:v>Chrome 1440x900 / 390x844</x:v>
      </x:c>
      <x:c r="J84" s="30" t="str">
        <x:v>Not Run</x:v>
      </x:c>
      <x:c r="K84" s="29"/>
      <x:c r="L84" s="29"/>
      <x:c r="M84" s="31"/>
      <x:c r="N84" s="29" t="str"/>
    </x:row>
    <x:row r="85" ht="48" hidden="0" customHeight="1">
      <x:c r="A85" s="32" t="str">
        <x:v>UI-080</x:v>
      </x:c>
      <x:c r="B85" s="33" t="str">
        <x:v>Product Detail</x:v>
      </x:c>
      <x:c r="C85" s="33" t="str">
        <x:v>Review kèm ảnh và xem ảnh lớn</x:v>
      </x:c>
      <x:c r="D85" s="34" t="str">
        <x:v>Functional</x:v>
      </x:c>
      <x:c r="E85" s="34" t="str">
        <x:v>High</x:v>
      </x:c>
      <x:c r="F85" s="33" t="str">
        <x:v>User đủ điều kiện, chưa review.</x:v>
      </x:c>
      <x:c r="G85" s="33" t="str">
        <x:v>1. Chọn sao, nhập nội dung và chọn ảnh.
2. Xem preview/xoá một ảnh.
3. Submit rồi mở ảnh đã lưu.</x:v>
      </x:c>
      <x:c r="H85" s="33" t="str">
        <x:v>Multipart gửi đúng file; review/ảnh/rating count tồn tại sau reload; không tạo review trùng.</x:v>
      </x:c>
      <x:c r="I85" s="33" t="str">
        <x:v>Chrome 1440x900 / 390x844</x:v>
      </x:c>
      <x:c r="J85" s="30" t="str">
        <x:v>Not Run</x:v>
      </x:c>
      <x:c r="K85" s="33"/>
      <x:c r="L85" s="33"/>
      <x:c r="M85" s="35"/>
      <x:c r="N85" s="33" t="str"/>
    </x:row>
    <x:row r="86" ht="48" hidden="0" customHeight="1">
      <x:c r="A86" s="28" t="str">
        <x:v>UI-081</x:v>
      </x:c>
      <x:c r="B86" s="29" t="str">
        <x:v>Product Detail</x:v>
      </x:c>
      <x:c r="C86" s="29" t="str">
        <x:v>Ảnh review vi phạm bị chặn trước submit</x:v>
      </x:c>
      <x:c r="D86" s="30" t="str">
        <x:v>Validation</x:v>
      </x:c>
      <x:c r="E86" s="30" t="str">
        <x:v>High</x:v>
      </x:c>
      <x:c r="F86" s="29" t="str">
        <x:v>Form review được mở.</x:v>
      </x:c>
      <x:c r="G86" s="29" t="str">
        <x:v>1. Chọn 6 ảnh, ảnh &gt;5 MB hoặc file sai loại.
2. Thử Submit.
3. Bỏ file sai và thử lại.</x:v>
      </x:c>
      <x:c r="H86" s="29" t="str">
        <x:v>Thông báo cụ thể; chưa gửi request sai; sửa selection thì submit được.</x:v>
      </x:c>
      <x:c r="I86" s="29" t="str">
        <x:v>Chrome 1440x900 / 390x844</x:v>
      </x:c>
      <x:c r="J86" s="30" t="str">
        <x:v>Not Run</x:v>
      </x:c>
      <x:c r="K86" s="29"/>
      <x:c r="L86" s="29"/>
      <x:c r="M86" s="31"/>
      <x:c r="N86" s="29" t="str"/>
    </x:row>
    <x:row r="87" ht="48" hidden="0" customHeight="1">
      <x:c r="A87" s="32" t="str">
        <x:v>UI-082</x:v>
      </x:c>
      <x:c r="B87" s="33" t="str">
        <x:v>Product Detail</x:v>
      </x:c>
      <x:c r="C87" s="33" t="str">
        <x:v>Upload review lỗi giữ bản nháp</x:v>
      </x:c>
      <x:c r="D87" s="34" t="str">
        <x:v>Negative</x:v>
      </x:c>
      <x:c r="E87" s="34" t="str">
        <x:v>Medium</x:v>
      </x:c>
      <x:c r="F87" s="33" t="str">
        <x:v>Đã nhập sao/comment/chọn ảnh.</x:v>
      </x:c>
      <x:c r="G87" s="33" t="str">
        <x:v>1. Giả lập POST review lỗi.
2. Kiểm tra draft.
3. Khôi phục mạng và retry.</x:v>
      </x:c>
      <x:c r="H87" s="33" t="str">
        <x:v>Không mất nội dung/preview; bỏ loading và cho retry, không ghi Passed giả.</x:v>
      </x:c>
      <x:c r="I87" s="33" t="str">
        <x:v>Chrome 1440x900 / 390x844</x:v>
      </x:c>
      <x:c r="J87" s="30" t="str">
        <x:v>Not Run</x:v>
      </x:c>
      <x:c r="K87" s="33"/>
      <x:c r="L87" s="33"/>
      <x:c r="M87" s="35"/>
      <x:c r="N87" s="33" t="str"/>
    </x:row>
    <x:row r="88" ht="48" hidden="0" customHeight="1">
      <x:c r="A88" s="28" t="str">
        <x:v>UI-083</x:v>
      </x:c>
      <x:c r="B88" s="29" t="str">
        <x:v>Product Detail</x:v>
      </x:c>
      <x:c r="C88" s="29" t="str">
        <x:v>Hết hàng khoá mua nhưng không mất thông tin</x:v>
      </x:c>
      <x:c r="D88" s="30" t="str">
        <x:v>Business Rule</x:v>
      </x:c>
      <x:c r="E88" s="30" t="str">
        <x:v>High</x:v>
      </x:c>
      <x:c r="F88" s="29" t="str">
        <x:v>SP active stock=0; mở detail trực tiếp.</x:v>
      </x:c>
      <x:c r="G88" s="29" t="str">
        <x:v>1. Quan sát gallery/spec/review.
2. Thử quantity và Add To Cart.</x:v>
      </x:c>
      <x:c r="H88" s="29" t="str">
        <x:v>Khoá mua/quantity, có nhãn hết hàng; gallery, nội dung và Favorite vẫn xem/dùng theo quyền.</x:v>
      </x:c>
      <x:c r="I88" s="29" t="str">
        <x:v>Chrome 1440x900 / 390x844</x:v>
      </x:c>
      <x:c r="J88" s="30" t="str">
        <x:v>Not Run</x:v>
      </x:c>
      <x:c r="K88" s="29"/>
      <x:c r="L88" s="29"/>
      <x:c r="M88" s="31"/>
      <x:c r="N88" s="29" t="str"/>
    </x:row>
    <x:row r="89" ht="48" hidden="0" customHeight="1">
      <x:c r="A89" s="32" t="str">
        <x:v>UI-084</x:v>
      </x:c>
      <x:c r="B89" s="33" t="str">
        <x:v>Profile</x:v>
      </x:c>
      <x:c r="C89" s="33" t="str">
        <x:v>My Favorites điều hướng trực tiếp detail</x:v>
      </x:c>
      <x:c r="D89" s="34" t="str">
        <x:v>Functional</x:v>
      </x:c>
      <x:c r="E89" s="34" t="str">
        <x:v>High</x:v>
      </x:c>
      <x:c r="F89" s="33" t="str">
        <x:v>Có danh sách favorite thật.</x:v>
      </x:c>
      <x:c r="G89" s="33" t="str">
        <x:v>1. Bấm một item trong My Favorites.</x:v>
      </x:c>
      <x:c r="H89" s="33" t="str">
        <x:v>Đi thẳng đúng /products/{id}; không mở dialog chi tiết cũ.</x:v>
      </x:c>
      <x:c r="I89" s="33" t="str">
        <x:v>Chrome 1440x900 / 390x844</x:v>
      </x:c>
      <x:c r="J89" s="30" t="str">
        <x:v>Not Run</x:v>
      </x:c>
      <x:c r="K89" s="33"/>
      <x:c r="L89" s="33"/>
      <x:c r="M89" s="35"/>
      <x:c r="N89" s="33" t="str"/>
    </x:row>
    <x:row r="90" ht="48" hidden="0" customHeight="1">
      <x:c r="A90" s="28" t="str">
        <x:v>UI-085</x:v>
      </x:c>
      <x:c r="B90" s="29" t="str">
        <x:v>Profile</x:v>
      </x:c>
      <x:c r="C90" s="29" t="str">
        <x:v>Recent Orders và View All dùng đơn thật</x:v>
      </x:c>
      <x:c r="D90" s="30" t="str">
        <x:v>Integration</x:v>
      </x:c>
      <x:c r="E90" s="30" t="str">
        <x:v>High</x:v>
      </x:c>
      <x:c r="F90" s="29" t="str">
        <x:v>Có hơn 3 đơn với trạng thái khác nhau.</x:v>
      </x:c>
      <x:c r="G90" s="29" t="str">
        <x:v>1. Mở Profile.
2. So 3 đơn gần nhất với API.
3. Bấm View All.</x:v>
      </x:c>
      <x:c r="H90" s="29" t="str">
        <x:v>Hiện đúng tổng/ngày/status; View All mở Order History của chính user.</x:v>
      </x:c>
      <x:c r="I90" s="29" t="str">
        <x:v>Chrome 1440x900 / 390x844</x:v>
      </x:c>
      <x:c r="J90" s="30" t="str">
        <x:v>Not Run</x:v>
      </x:c>
      <x:c r="K90" s="29"/>
      <x:c r="L90" s="29"/>
      <x:c r="M90" s="31"/>
      <x:c r="N90" s="29" t="str"/>
    </x:row>
    <x:row r="91" ht="48" hidden="0" customHeight="1">
      <x:c r="A91" s="32" t="str">
        <x:v>UI-086</x:v>
      </x:c>
      <x:c r="B91" s="33" t="str">
        <x:v>Cart</x:v>
      </x:c>
      <x:c r="C91" s="33" t="str">
        <x:v>Giỏ dùng dữ liệu thật và đếm dòng sản phẩm</x:v>
      </x:c>
      <x:c r="D91" s="34" t="str">
        <x:v>Integration</x:v>
      </x:c>
      <x:c r="E91" s="34" t="str">
        <x:v>High</x:v>
      </x:c>
      <x:c r="F91" s="33" t="str">
        <x:v>Cart gồm P1 quantity=2 và P2 quantity=1.</x:v>
      </x:c>
      <x:c r="G91" s="33" t="str">
        <x:v>1. Mở Cart từ menu profile.
2. So dòng hiển thị và số đếm.</x:v>
      </x:c>
      <x:c r="H91" s="33" t="str">
        <x:v>Có 2 bản ghi sản phẩm, quantity từng dòng đúng; không dùng tổng quantity=3 làm số dòng.</x:v>
      </x:c>
      <x:c r="I91" s="33" t="str">
        <x:v>Chrome 1440x900 / 390x844</x:v>
      </x:c>
      <x:c r="J91" s="30" t="str">
        <x:v>Not Run</x:v>
      </x:c>
      <x:c r="K91" s="33"/>
      <x:c r="L91" s="33"/>
      <x:c r="M91" s="35"/>
      <x:c r="N91" s="33" t="str"/>
    </x:row>
    <x:row r="92" ht="48" hidden="0" customHeight="1">
      <x:c r="A92" s="28" t="str">
        <x:v>UI-087</x:v>
      </x:c>
      <x:c r="B92" s="29" t="str">
        <x:v>Cart</x:v>
      </x:c>
      <x:c r="C92" s="29" t="str">
        <x:v>Tăng/giảm/xoá cập nhật subtotal từ server</x:v>
      </x:c>
      <x:c r="D92" s="30" t="str">
        <x:v>Functional</x:v>
      </x:c>
      <x:c r="E92" s="30" t="str">
        <x:v>High</x:v>
      </x:c>
      <x:c r="F92" s="29" t="str">
        <x:v>Cart có hai SP còn hàng.</x:v>
      </x:c>
      <x:c r="G92" s="29" t="str">
        <x:v>1. Đổi quantity.
2. Xoá một item.
3. Reload trang.</x:v>
      </x:c>
      <x:c r="H92" s="29" t="str">
        <x:v>Đồng bộ API/DB; subtotal và item count đúng sau mỗi thay đổi và reload.</x:v>
      </x:c>
      <x:c r="I92" s="29" t="str">
        <x:v>Chrome 1440x900 / 390x844</x:v>
      </x:c>
      <x:c r="J92" s="30" t="str">
        <x:v>Not Run</x:v>
      </x:c>
      <x:c r="K92" s="29"/>
      <x:c r="L92" s="29"/>
      <x:c r="M92" s="31"/>
      <x:c r="N92" s="29" t="str"/>
    </x:row>
    <x:row r="93" ht="48" hidden="0" customHeight="1">
      <x:c r="A93" s="32" t="str">
        <x:v>UI-088</x:v>
      </x:c>
      <x:c r="B93" s="33" t="str">
        <x:v>Cart</x:v>
      </x:c>
      <x:c r="C93" s="33" t="str">
        <x:v>Giỏ rỗng không thể checkout</x:v>
      </x:c>
      <x:c r="D93" s="34" t="str">
        <x:v>Negative</x:v>
      </x:c>
      <x:c r="E93" s="34" t="str">
        <x:v>High</x:v>
      </x:c>
      <x:c r="F93" s="33" t="str">
        <x:v>Cart không có item.</x:v>
      </x:c>
      <x:c r="G93" s="33" t="str">
        <x:v>1. Mở Cart.
2. Quan sát summary và nút checkout.</x:v>
      </x:c>
      <x:c r="H93" s="33" t="str">
        <x:v>Có trạng thái giỏ rỗng, tổng 0; không gửi tạo Order từ cart rỗng.</x:v>
      </x:c>
      <x:c r="I93" s="33" t="str">
        <x:v>Chrome 1440x900 / 390x844</x:v>
      </x:c>
      <x:c r="J93" s="30" t="str">
        <x:v>Not Run</x:v>
      </x:c>
      <x:c r="K93" s="33"/>
      <x:c r="L93" s="33"/>
      <x:c r="M93" s="35"/>
      <x:c r="N93" s="33" t="str"/>
    </x:row>
    <x:row r="94" ht="48" hidden="0" customHeight="1">
      <x:c r="A94" s="28" t="str">
        <x:v>UI-089</x:v>
      </x:c>
      <x:c r="B94" s="29" t="str">
        <x:v>Cart</x:v>
      </x:c>
      <x:c r="C94" s="29" t="str">
        <x:v>Phương thức không khả dụng không có phí giả</x:v>
      </x:c>
      <x:c r="D94" s="30" t="str">
        <x:v>Configuration</x:v>
      </x:c>
      <x:c r="E94" s="30" t="str">
        <x:v>High</x:v>
      </x:c>
      <x:c r="F94" s="29" t="str">
        <x:v>API báo standard/Lalamove không khả dụng.</x:v>
      </x:c>
      <x:c r="G94" s="29" t="str">
        <x:v>1. Mở dropdown delivery.
2. Thử chọn phương thức bị unavailable.
3. Chọn pickup còn khả dụng.</x:v>
      </x:c>
      <x:c r="H94" s="29" t="str">
        <x:v>Unavailable không cho đặt bằng phí 0 giả; pickup vẫn miễn phí và sử dụng được.</x:v>
      </x:c>
      <x:c r="I94" s="29" t="str">
        <x:v>Chrome 1440x900 / 390x844</x:v>
      </x:c>
      <x:c r="J94" s="30" t="str">
        <x:v>Not Run</x:v>
      </x:c>
      <x:c r="K94" s="29"/>
      <x:c r="L94" s="29"/>
      <x:c r="M94" s="31"/>
      <x:c r="N94" s="29" t="str"/>
    </x:row>
    <x:row r="95" ht="54" hidden="0" customHeight="1">
      <x:c r="A95" s="32" t="str">
        <x:v>UI-090</x:v>
      </x:c>
      <x:c r="B95" s="33" t="str">
        <x:v>Checkout</x:v>
      </x:c>
      <x:c r="C95" s="33" t="str">
        <x:v>Store Pickup ẩn toàn bộ trường giao hàng</x:v>
      </x:c>
      <x:c r="D95" s="34" t="str">
        <x:v>Business Rule</x:v>
      </x:c>
      <x:c r="E95" s="34" t="str">
        <x:v>Critical</x:v>
      </x:c>
      <x:c r="F95" s="33" t="str">
        <x:v>Cart hợp lệ; chọn Store Pickup và COD.</x:v>
      </x:c>
      <x:c r="G95" s="33" t="str">
        <x:v>1. Mở checkout.
2. Chọn pickup.
3. Đặt hàng không nhập người nhận/phone/address.</x:v>
      </x:c>
      <x:c r="H95" s="33" t="str">
        <x:v>Ẩn/disable delivery inputs; phí 0; gửi order pickup không quote/địa chỉ bắt buộc.</x:v>
      </x:c>
      <x:c r="I95" s="33" t="str">
        <x:v>Chrome 1440x900 / 390x844</x:v>
      </x:c>
      <x:c r="J95" s="30" t="str">
        <x:v>Not Run</x:v>
      </x:c>
      <x:c r="K95" s="33"/>
      <x:c r="L95" s="33"/>
      <x:c r="M95" s="35"/>
      <x:c r="N95" s="33" t="str"/>
    </x:row>
    <x:row r="96" ht="48" hidden="0" customHeight="1">
      <x:c r="A96" s="28" t="str">
        <x:v>UI-091</x:v>
      </x:c>
      <x:c r="B96" s="29" t="str">
        <x:v>Checkout</x:v>
      </x:c>
      <x:c r="C96" s="29" t="str">
        <x:v>Chỉ gõ địa chỉ chưa chọn gợi ý không cho đặt</x:v>
      </x:c>
      <x:c r="D96" s="30" t="str">
        <x:v>Validation</x:v>
      </x:c>
      <x:c r="E96" s="30" t="str">
        <x:v>Critical</x:v>
      </x:c>
      <x:c r="F96" s="29" t="str">
        <x:v>Đang chọn Lalamove.</x:v>
      </x:c>
      <x:c r="G96" s="29" t="str">
        <x:v>1. Nhập tên/phone.
2. Chỉ gõ địa chỉ nhưng không chọn gợi ý.
3. Quan sát Delivery và Place order.</x:v>
      </x:c>
      <x:c r="H96" s="29" t="str">
        <x:v>Không tự coi chuỗi gõ là địa chỉ xác minh; chưa quote hợp lệ thì Place order bị khoá.</x:v>
      </x:c>
      <x:c r="I96" s="29" t="str">
        <x:v>Chrome 1440x900 / 390x844</x:v>
      </x:c>
      <x:c r="J96" s="30" t="str">
        <x:v>Not Run</x:v>
      </x:c>
      <x:c r="K96" s="29"/>
      <x:c r="L96" s="29"/>
      <x:c r="M96" s="31"/>
      <x:c r="N96" s="29" t="str"/>
    </x:row>
    <x:row r="97" ht="48" hidden="0" customHeight="1">
      <x:c r="A97" s="32" t="str">
        <x:v>UI-092</x:v>
      </x:c>
      <x:c r="B97" s="33" t="str">
        <x:v>Checkout</x:v>
      </x:c>
      <x:c r="C97" s="33" t="str">
        <x:v>Chọn gợi ý địa chỉ tự tính phí giao</x:v>
      </x:c>
      <x:c r="D97" s="34" t="str">
        <x:v>Integration</x:v>
      </x:c>
      <x:c r="E97" s="34" t="str">
        <x:v>Critical</x:v>
      </x:c>
      <x:c r="F97" s="33" t="str">
        <x:v>Provider sandbox/mock có địa chỉ và quote.</x:v>
      </x:c>
      <x:c r="G97" s="33" t="str">
        <x:v>1. Tìm địa chỉ rồi chọn gợi ý.
2. Quan sát loading và Network.
3. Chờ quotation.</x:v>
      </x:c>
      <x:c r="H97" s="33" t="str">
        <x:v>Gửi tên/phone/address tới BE, không có input GPS; Delivery hiện phí thật và total=subtotal-discount+fee.</x:v>
      </x:c>
      <x:c r="I97" s="33" t="str">
        <x:v>Chrome 1440x900 / 390x844</x:v>
      </x:c>
      <x:c r="J97" s="30" t="str">
        <x:v>Not Run</x:v>
      </x:c>
      <x:c r="K97" s="33"/>
      <x:c r="L97" s="33"/>
      <x:c r="M97" s="35"/>
      <x:c r="N97" s="33" t="str"/>
    </x:row>
    <x:row r="98" ht="48" hidden="0" customHeight="1">
      <x:c r="A98" s="28" t="str">
        <x:v>UI-093</x:v>
      </x:c>
      <x:c r="B98" s="29" t="str">
        <x:v>Checkout</x:v>
      </x:c>
      <x:c r="C98" s="29" t="str">
        <x:v>Đổi địa chỉ làm mất hiệu lực quote cũ</x:v>
      </x:c>
      <x:c r="D98" s="30" t="str">
        <x:v>Concurrency</x:v>
      </x:c>
      <x:c r="E98" s="30" t="str">
        <x:v>Critical</x:v>
      </x:c>
      <x:c r="F98" s="29" t="str">
        <x:v>Địa chỉ A đã có quote.</x:v>
      </x:c>
      <x:c r="G98" s="29" t="str">
        <x:v>1. Sửa sang B trong lúc A còn request chậm.
2. Chọn B và chờ quote.</x:v>
      </x:c>
      <x:c r="H98" s="29" t="str">
        <x:v>Khoá đặt đơn trong lúc đổi; chỉ dùng quote B; A về muộn không thay phí/địa chỉ B.</x:v>
      </x:c>
      <x:c r="I98" s="29" t="str">
        <x:v>Chrome 1440x900 / 390x844</x:v>
      </x:c>
      <x:c r="J98" s="30" t="str">
        <x:v>Not Run</x:v>
      </x:c>
      <x:c r="K98" s="29"/>
      <x:c r="L98" s="29"/>
      <x:c r="M98" s="31"/>
      <x:c r="N98" s="29" t="str"/>
    </x:row>
    <x:row r="99" ht="48" hidden="0" customHeight="1">
      <x:c r="A99" s="32" t="str">
        <x:v>UI-094</x:v>
      </x:c>
      <x:c r="B99" s="33" t="str">
        <x:v>Checkout</x:v>
      </x:c>
      <x:c r="C99" s="33" t="str">
        <x:v>Quote lỗi cho retry, không dùng Free giả</x:v>
      </x:c>
      <x:c r="D99" s="34" t="str">
        <x:v>Negative</x:v>
      </x:c>
      <x:c r="E99" s="34" t="str">
        <x:v>High</x:v>
      </x:c>
      <x:c r="F99" s="33" t="str">
        <x:v>Mock geocode hoặc Lalamove lỗi.</x:v>
      </x:c>
      <x:c r="G99" s="33" t="str">
        <x:v>1. Chọn địa chỉ.
2. Gây lỗi quote.
3. Khôi phục provider và retry.</x:v>
      </x:c>
      <x:c r="H99" s="33" t="str">
        <x:v>Có lỗi rõ; Place order khoá; không hiện phí 0 như đã tính thành công; retry hoạt động.</x:v>
      </x:c>
      <x:c r="I99" s="33" t="str">
        <x:v>Chrome 1440x900 / 390x844</x:v>
      </x:c>
      <x:c r="J99" s="30" t="str">
        <x:v>Not Run</x:v>
      </x:c>
      <x:c r="K99" s="33"/>
      <x:c r="L99" s="33"/>
      <x:c r="M99" s="35"/>
      <x:c r="N99" s="33" t="str"/>
    </x:row>
    <x:row r="100" ht="48" hidden="0" customHeight="1">
      <x:c r="A100" s="28" t="str">
        <x:v>UI-095</x:v>
      </x:c>
      <x:c r="B100" s="29" t="str">
        <x:v>Checkout</x:v>
      </x:c>
      <x:c r="C100" s="29" t="str">
        <x:v>Đổi COD sang online lấy lại quote prepaid</x:v>
      </x:c>
      <x:c r="D100" s="30" t="str">
        <x:v>Business Rule</x:v>
      </x:c>
      <x:c r="E100" s="30" t="str">
        <x:v>Critical</x:v>
      </x:c>
      <x:c r="F100" s="29" t="str">
        <x:v>Lalamove đang có quote COD; online enabled.</x:v>
      </x:c>
      <x:c r="G100" s="29" t="str">
        <x:v>1. Chọn Visa/ZaloPay.
2. Quan sát quote mới và nút order.</x:v>
      </x:c>
      <x:c r="H100" s="29" t="str">
        <x:v>Quote được lấy lại cho chế độ prepaid; không dùng quote thu COD để tạo đơn online.</x:v>
      </x:c>
      <x:c r="I100" s="29" t="str">
        <x:v>Chrome 1440x900 / 390x844</x:v>
      </x:c>
      <x:c r="J100" s="30" t="str">
        <x:v>Not Run</x:v>
      </x:c>
      <x:c r="K100" s="29"/>
      <x:c r="L100" s="29"/>
      <x:c r="M100" s="31"/>
      <x:c r="N100" s="29" t="str"/>
    </x:row>
    <x:row r="101" ht="48" hidden="0" customHeight="1">
      <x:c r="A101" s="32" t="str">
        <x:v>UI-096</x:v>
      </x:c>
      <x:c r="B101" s="33" t="str">
        <x:v>Checkout</x:v>
      </x:c>
      <x:c r="C101" s="33" t="str">
        <x:v>Chọn voucher sở hữu và hiển thị hạn</x:v>
      </x:c>
      <x:c r="D101" s="34" t="str">
        <x:v>Functional</x:v>
      </x:c>
      <x:c r="E101" s="34" t="str">
        <x:v>High</x:v>
      </x:c>
      <x:c r="F101" s="33" t="str">
        <x:v>Có mã sở hữu hợp lệ; subtotal đạt minOrder.</x:v>
      </x:c>
      <x:c r="G101" s="33" t="str">
        <x:v>1. Mở danh sách mã.
2. Chọn mã và Apply.</x:v>
      </x:c>
      <x:c r="H101" s="33" t="str">
        <x:v>Validate backend thành công, hiển thị mã/hạn/discount; tổng giảm đúng tiền hàng.</x:v>
      </x:c>
      <x:c r="I101" s="33" t="str">
        <x:v>Chrome 1440x900 / 390x844</x:v>
      </x:c>
      <x:c r="J101" s="30" t="str">
        <x:v>Not Run</x:v>
      </x:c>
      <x:c r="K101" s="33"/>
      <x:c r="L101" s="33"/>
      <x:c r="M101" s="35"/>
      <x:c r="N101" s="33" t="str"/>
    </x:row>
    <x:row r="102" ht="48" hidden="0" customHeight="1">
      <x:c r="A102" s="28" t="str">
        <x:v>UI-097</x:v>
      </x:c>
      <x:c r="B102" s="29" t="str">
        <x:v>Checkout</x:v>
      </x:c>
      <x:c r="C102" s="29" t="str">
        <x:v>Không giảm phí giao khi voucher 100%</x:v>
      </x:c>
      <x:c r="D102" s="30" t="str">
        <x:v>Boundary</x:v>
      </x:c>
      <x:c r="E102" s="30" t="str">
        <x:v>Critical</x:v>
      </x:c>
      <x:c r="F102" s="29" t="str">
        <x:v>Mã 100%, tiền hàng 200.000đ, phí giao 30.000đ.</x:v>
      </x:c>
      <x:c r="G102" s="29" t="str">
        <x:v>1. Apply mã.
2. So từng dòng summary.</x:v>
      </x:c>
      <x:c r="H102" s="29" t="str">
        <x:v>Discount=200.000đ; total=30.000đ, không miễn phí giao.</x:v>
      </x:c>
      <x:c r="I102" s="29" t="str">
        <x:v>Chrome 1440x900 / 390x844</x:v>
      </x:c>
      <x:c r="J102" s="30" t="str">
        <x:v>Not Run</x:v>
      </x:c>
      <x:c r="K102" s="29"/>
      <x:c r="L102" s="29"/>
      <x:c r="M102" s="31"/>
      <x:c r="N102" s="29" t="str"/>
    </x:row>
    <x:row r="103" ht="48" hidden="0" customHeight="1">
      <x:c r="A103" s="32" t="str">
        <x:v>UI-098</x:v>
      </x:c>
      <x:c r="B103" s="33" t="str">
        <x:v>Checkout</x:v>
      </x:c>
      <x:c r="C103" s="33" t="str">
        <x:v>Đang validate mã thì chưa được đặt đơn</x:v>
      </x:c>
      <x:c r="D103" s="34" t="str">
        <x:v>Concurrency</x:v>
      </x:c>
      <x:c r="E103" s="34" t="str">
        <x:v>High</x:v>
      </x:c>
      <x:c r="F103" s="33" t="str">
        <x:v>Apply voucher response chậm.</x:v>
      </x:c>
      <x:c r="G103" s="33" t="str">
        <x:v>1. Bấm Apply.
2. Ngay lập tức bấm Place order.</x:v>
      </x:c>
      <x:c r="H103" s="33" t="str">
        <x:v>Không gửi Order cho đến khi kiểm tra mã xong; tránh tổng tiền cũ.</x:v>
      </x:c>
      <x:c r="I103" s="33" t="str">
        <x:v>Chrome 1440x900 / 390x844</x:v>
      </x:c>
      <x:c r="J103" s="30" t="str">
        <x:v>Not Run</x:v>
      </x:c>
      <x:c r="K103" s="33"/>
      <x:c r="L103" s="33"/>
      <x:c r="M103" s="35"/>
      <x:c r="N103" s="33" t="str"/>
    </x:row>
    <x:row r="104" ht="48" hidden="0" customHeight="1">
      <x:c r="A104" s="28" t="str">
        <x:v>UI-099</x:v>
      </x:c>
      <x:c r="B104" s="29" t="str">
        <x:v>Checkout</x:v>
      </x:c>
      <x:c r="C104" s="29" t="str">
        <x:v>Xoá hoặc sửa mã bỏ discount cũ</x:v>
      </x:c>
      <x:c r="D104" s="30" t="str">
        <x:v>Regression</x:v>
      </x:c>
      <x:c r="E104" s="30" t="str">
        <x:v>High</x:v>
      </x:c>
      <x:c r="F104" s="29" t="str">
        <x:v>Mã đã được apply.</x:v>
      </x:c>
      <x:c r="G104" s="29" t="str">
        <x:v>1. Remove voucher hoặc sửa text input.
2. Đặt đơn sau khi xác minh lại.</x:v>
      </x:c>
      <x:c r="H104" s="29" t="str">
        <x:v>Khôi phục total đúng; không gửi mã cũ hoặc giữ discount của mã đã thay.</x:v>
      </x:c>
      <x:c r="I104" s="29" t="str">
        <x:v>Chrome 1440x900 / 390x844</x:v>
      </x:c>
      <x:c r="J104" s="30" t="str">
        <x:v>Not Run</x:v>
      </x:c>
      <x:c r="K104" s="29"/>
      <x:c r="L104" s="29"/>
      <x:c r="M104" s="31"/>
      <x:c r="N104" s="29" t="str"/>
    </x:row>
    <x:row r="105" ht="48" hidden="0" customHeight="1">
      <x:c r="A105" s="32" t="str">
        <x:v>UI-100</x:v>
      </x:c>
      <x:c r="B105" s="33" t="str">
        <x:v>Checkout</x:v>
      </x:c>
      <x:c r="C105" s="33" t="str">
        <x:v>Voucher hết hạn ngay trước đặt hàng</x:v>
      </x:c>
      <x:c r="D105" s="34" t="str">
        <x:v>Boundary</x:v>
      </x:c>
      <x:c r="E105" s="34" t="str">
        <x:v>High</x:v>
      </x:c>
      <x:c r="F105" s="33" t="str">
        <x:v>Preview thành công nhưng expiresAt đến trước POST order.</x:v>
      </x:c>
      <x:c r="G105" s="33" t="str">
        <x:v>1. Chờ qua hạn trong fixture.
2. Bấm Place order.</x:v>
      </x:c>
      <x:c r="H105" s="33" t="str">
        <x:v>Hiện lỗi mã; bỏ discount không còn hợp lệ; quay về checkout, không báo thành công giả.</x:v>
      </x:c>
      <x:c r="I105" s="33" t="str">
        <x:v>Chrome 1440x900 / 390x844</x:v>
      </x:c>
      <x:c r="J105" s="30" t="str">
        <x:v>Not Run</x:v>
      </x:c>
      <x:c r="K105" s="33"/>
      <x:c r="L105" s="33"/>
      <x:c r="M105" s="35"/>
      <x:c r="N105" s="33" t="str"/>
    </x:row>
    <x:row r="106" ht="48" hidden="0" customHeight="1">
      <x:c r="A106" s="28" t="str">
        <x:v>UI-101</x:v>
      </x:c>
      <x:c r="B106" s="29" t="str">
        <x:v>Checkout</x:v>
      </x:c>
      <x:c r="C106" s="29" t="str">
        <x:v>ZaloPay mở gateway sandbox đúng ví</x:v>
      </x:c>
      <x:c r="D106" s="30" t="str">
        <x:v>Integration</x:v>
      </x:c>
      <x:c r="E106" s="30" t="str">
        <x:v>Critical</x:v>
      </x:c>
      <x:c r="F106" s="29" t="str">
        <x:v>Online sandbox enabled, giỏ hợp lệ.</x:v>
      </x:c>
      <x:c r="G106" s="29" t="str">
        <x:v>1. Chọn ZaloPay.
2. Place order.
3. Quan sát URL mở.</x:v>
      </x:c>
      <x:c r="H106" s="29" t="str">
        <x:v>Tạo order Pending/idempotent rồi session ví sandbox HTTPS cho đúng order; không nhận key ở FE.</x:v>
      </x:c>
      <x:c r="I106" s="29" t="str">
        <x:v>Chrome 1440x900 / 390x844</x:v>
      </x:c>
      <x:c r="J106" s="30" t="str">
        <x:v>Not Run</x:v>
      </x:c>
      <x:c r="K106" s="29"/>
      <x:c r="L106" s="29"/>
      <x:c r="M106" s="31"/>
      <x:c r="N106" s="29" t="str"/>
    </x:row>
    <x:row r="107" ht="48" hidden="0" customHeight="1">
      <x:c r="A107" s="32" t="str">
        <x:v>UI-102</x:v>
      </x:c>
      <x:c r="B107" s="33" t="str">
        <x:v>Checkout</x:v>
      </x:c>
      <x:c r="C107" s="33" t="str">
        <x:v>Visa mở hosted card form, không nhập số thẻ trong app</x:v>
      </x:c>
      <x:c r="D107" s="34" t="str">
        <x:v>Integration</x:v>
      </x:c>
      <x:c r="E107" s="34" t="str">
        <x:v>Critical</x:v>
      </x:c>
      <x:c r="F107" s="33" t="str">
        <x:v>Online sandbox enabled.</x:v>
      </x:c>
      <x:c r="G107" s="33" t="str">
        <x:v>1. Chọn Visa / international card.
2. Place order và mở gateway.</x:v>
      </x:c>
      <x:c r="H107" s="33" t="str">
        <x:v>Dùng endpoint Visa và form thẻ quốc tế của ZaloPay sandbox; app không thu PAN/CVV.</x:v>
      </x:c>
      <x:c r="I107" s="33" t="str">
        <x:v>Chrome 1440x900 / 390x844</x:v>
      </x:c>
      <x:c r="J107" s="30" t="str">
        <x:v>Not Run</x:v>
      </x:c>
      <x:c r="K107" s="33"/>
      <x:c r="L107" s="33"/>
      <x:c r="M107" s="35"/>
      <x:c r="N107" s="33" t="str"/>
    </x:row>
    <x:row r="108" ht="54" hidden="0" customHeight="1">
      <x:c r="A108" s="28" t="str">
        <x:v>UI-103</x:v>
      </x:c>
      <x:c r="B108" s="29" t="str">
        <x:v>Checkout</x:v>
      </x:c>
      <x:c r="C108" s="29" t="str">
        <x:v>Return success/fail giả không thay trạng thái cục bộ</x:v>
      </x:c>
      <x:c r="D108" s="30" t="str">
        <x:v>Security</x:v>
      </x:c>
      <x:c r="E108" s="30" t="str">
        <x:v>Critical</x:v>
      </x:c>
      <x:c r="F108" s="29" t="str">
        <x:v>Order còn Pending; mock query trả Pending.</x:v>
      </x:c>
      <x:c r="G108" s="29" t="str">
        <x:v>1. Mở /checkout?order=...&amp;payment=success hoặc failure.
2. Chờ query backend.</x:v>
      </x:c>
      <x:c r="H108" s="29" t="str">
        <x:v>Chỉ trạng thái backend được hiển thị; query string không tự ghi Paid/Failed.</x:v>
      </x:c>
      <x:c r="I108" s="29" t="str">
        <x:v>Chrome 1440x900 / 390x844</x:v>
      </x:c>
      <x:c r="J108" s="30" t="str">
        <x:v>Not Run</x:v>
      </x:c>
      <x:c r="K108" s="29"/>
      <x:c r="L108" s="29"/>
      <x:c r="M108" s="31"/>
      <x:c r="N108" s="29" t="str"/>
    </x:row>
    <x:row r="109" ht="48" hidden="0" customHeight="1">
      <x:c r="A109" s="32" t="str">
        <x:v>UI-104</x:v>
      </x:c>
      <x:c r="B109" s="33" t="str">
        <x:v>Checkout</x:v>
      </x:c>
      <x:c r="C109" s="33" t="str">
        <x:v>Mất response order retry cùng checkoutKey</x:v>
      </x:c>
      <x:c r="D109" s="34" t="str">
        <x:v>Concurrency</x:v>
      </x:c>
      <x:c r="E109" s="34" t="str">
        <x:v>Critical</x:v>
      </x:c>
      <x:c r="F109" s="33" t="str">
        <x:v>Mock BE lưu order nhưng response bị ngắt.</x:v>
      </x:c>
      <x:c r="G109" s="33" t="str">
        <x:v>1. Place order online.
2. Chờ lỗi mơ hồ.
3. Retry theo UI.</x:v>
      </x:c>
      <x:c r="H109" s="33" t="str">
        <x:v>Dùng lại UUID/Order đã tạo, không tăng số đơn/charge/trừ stock/voucher lần hai.</x:v>
      </x:c>
      <x:c r="I109" s="33" t="str">
        <x:v>Chrome 1440x900 / 390x844</x:v>
      </x:c>
      <x:c r="J109" s="30" t="str">
        <x:v>Not Run</x:v>
      </x:c>
      <x:c r="K109" s="33"/>
      <x:c r="L109" s="33"/>
      <x:c r="M109" s="35"/>
      <x:c r="N109" s="33" t="str"/>
    </x:row>
    <x:row r="110" ht="48" hidden="0" customHeight="1">
      <x:c r="A110" s="28" t="str">
        <x:v>UI-105</x:v>
      </x:c>
      <x:c r="B110" s="29" t="str">
        <x:v>Checkout</x:v>
      </x:c>
      <x:c r="C110" s="29" t="str">
        <x:v>URL gateway độc hại bị chặn</x:v>
      </x:c>
      <x:c r="D110" s="30" t="str">
        <x:v>Security</x:v>
      </x:c>
      <x:c r="E110" s="30" t="str">
        <x:v>Critical</x:v>
      </x:c>
      <x:c r="F110" s="29" t="str">
        <x:v>Mock backend/session trả HTTP hoặc host gần giống gateway.</x:v>
      </x:c>
      <x:c r="G110" s="29" t="str">
        <x:v>1. Mở session có URL không allowlist.</x:v>
      </x:c>
      <x:c r="H110" s="29" t="str">
        <x:v>Không điều hướng; báo lỗi an toàn và giữ ID order để đối soát, không khởi tạo charge mới.</x:v>
      </x:c>
      <x:c r="I110" s="29" t="str">
        <x:v>Chrome 1440x900 / 390x844</x:v>
      </x:c>
      <x:c r="J110" s="30" t="str">
        <x:v>Not Run</x:v>
      </x:c>
      <x:c r="K110" s="29"/>
      <x:c r="L110" s="29"/>
      <x:c r="M110" s="31"/>
      <x:c r="N110" s="29" t="str"/>
    </x:row>
    <x:row r="111" ht="48" hidden="0" customHeight="1">
      <x:c r="A111" s="32" t="str">
        <x:v>UI-106</x:v>
      </x:c>
      <x:c r="B111" s="33" t="str">
        <x:v>Checkout</x:v>
      </x:c>
      <x:c r="C111" s="33" t="str">
        <x:v>Đóng tab Pending không tự báo Failed</x:v>
      </x:c>
      <x:c r="D111" s="34" t="str">
        <x:v>Business Rule</x:v>
      </x:c>
      <x:c r="E111" s="34" t="str">
        <x:v>High</x:v>
      </x:c>
      <x:c r="F111" s="33" t="str">
        <x:v>Checkout online đang Pending.</x:v>
      </x:c>
      <x:c r="G111" s="33" t="str">
        <x:v>1. Đóng tab đột ngột.
2. Mở lại Order History trước khi hết hạn.</x:v>
      </x:c>
      <x:c r="H111" s="33" t="str">
        <x:v>Vẫn trạng thái backend Pending/đang xác minh; Failed chỉ sau kết luận đối soát phù hợp.</x:v>
      </x:c>
      <x:c r="I111" s="33" t="str">
        <x:v>Chrome 1440x900 / 390x844</x:v>
      </x:c>
      <x:c r="J111" s="30" t="str">
        <x:v>Not Run</x:v>
      </x:c>
      <x:c r="K111" s="33"/>
      <x:c r="L111" s="33"/>
      <x:c r="M111" s="35"/>
      <x:c r="N111" s="33" t="str"/>
    </x:row>
    <x:row r="112" ht="48" hidden="0" customHeight="1">
      <x:c r="A112" s="28" t="str">
        <x:v>UI-107</x:v>
      </x:c>
      <x:c r="B112" s="29" t="str">
        <x:v>Order History</x:v>
      </x:c>
      <x:c r="C112" s="29" t="str">
        <x:v>Tìm kiếm đơn và phân trang dùng tập dữ liệu thật</x:v>
      </x:c>
      <x:c r="D112" s="30" t="str">
        <x:v>Functional</x:v>
      </x:c>
      <x:c r="E112" s="30" t="str">
        <x:v>High</x:v>
      </x:c>
      <x:c r="F112" s="29" t="str">
        <x:v>Có nhiều đơn của user.</x:v>
      </x:c>
      <x:c r="G112" s="29" t="str">
        <x:v>1. Mở từ profile menu.
2. Tìm mã đơn hoặc tên item.
3. Chuyển trang.</x:v>
      </x:c>
      <x:c r="H112" s="29" t="str">
        <x:v>Chỉ trả/hiện đơn của chính user phù hợp tìm kiếm; không mất tiêu chí khi chuyển trang.</x:v>
      </x:c>
      <x:c r="I112" s="29" t="str">
        <x:v>Chrome 1440x900 / 390x844</x:v>
      </x:c>
      <x:c r="J112" s="30" t="str">
        <x:v>Not Run</x:v>
      </x:c>
      <x:c r="K112" s="29"/>
      <x:c r="L112" s="29"/>
      <x:c r="M112" s="31"/>
      <x:c r="N112" s="29" t="str"/>
    </x:row>
    <x:row r="113" ht="48" hidden="0" customHeight="1">
      <x:c r="A113" s="32" t="str">
        <x:v>UI-108</x:v>
      </x:c>
      <x:c r="B113" s="33" t="str">
        <x:v>Order History</x:v>
      </x:c>
      <x:c r="C113" s="33" t="str">
        <x:v>Chi tiết và hoá đơn đúng snapshot đơn</x:v>
      </x:c>
      <x:c r="D113" s="34" t="str">
        <x:v>Integration</x:v>
      </x:c>
      <x:c r="E113" s="34" t="str">
        <x:v>High</x:v>
      </x:c>
      <x:c r="F113" s="33" t="str">
        <x:v>Có đơn gồm nhiều item; giá catalog đã thay sau mua.</x:v>
      </x:c>
      <x:c r="G113" s="33" t="str">
        <x:v>1. Mở detail đơn.
2. Download invoice.
3. So tổng và giá từng item.</x:v>
      </x:c>
      <x:c r="H113" s="33" t="str">
        <x:v>Dùng giá/name/quantity snapshot, không thay theo catalog mới; file văn bản đọc được.</x:v>
      </x:c>
      <x:c r="I113" s="33" t="str">
        <x:v>Chrome 1440x900 / 390x844</x:v>
      </x:c>
      <x:c r="J113" s="30" t="str">
        <x:v>Not Run</x:v>
      </x:c>
      <x:c r="K113" s="33"/>
      <x:c r="L113" s="33"/>
      <x:c r="M113" s="35"/>
      <x:c r="N113" s="33" t="str"/>
    </x:row>
    <x:row r="114" ht="48" hidden="0" customHeight="1">
      <x:c r="A114" s="28" t="str">
        <x:v>UI-109</x:v>
      </x:c>
      <x:c r="B114" s="29" t="str">
        <x:v>Order History</x:v>
      </x:c>
      <x:c r="C114" s="29" t="str">
        <x:v>Lalamove hiển thị trạng thái đúng provider</x:v>
      </x:c>
      <x:c r="D114" s="30" t="str">
        <x:v>Integration</x:v>
      </x:c>
      <x:c r="E114" s="30" t="str">
        <x:v>High</x:v>
      </x:c>
      <x:c r="F114" s="29" t="str">
        <x:v>Có order Lalamove đang active.</x:v>
      </x:c>
      <x:c r="G114" s="29" t="str">
        <x:v>1. Refresh delivery.
2. Mock webhook mới.
3. Reload history.</x:v>
      </x:c>
      <x:c r="H114" s="29" t="str">
        <x:v>Badge/tracking phản ánh trạng thái mới, không cứ giữ In Progress khi provider đã hoàn tất.</x:v>
      </x:c>
      <x:c r="I114" s="29" t="str">
        <x:v>Chrome 1440x900 / 390x844</x:v>
      </x:c>
      <x:c r="J114" s="30" t="str">
        <x:v>Not Run</x:v>
      </x:c>
      <x:c r="K114" s="29"/>
      <x:c r="L114" s="29"/>
      <x:c r="M114" s="31"/>
      <x:c r="N114" s="29" t="str"/>
    </x:row>
    <x:row r="115" ht="48" hidden="0" customHeight="1">
      <x:c r="A115" s="32" t="str">
        <x:v>UI-110</x:v>
      </x:c>
      <x:c r="B115" s="33" t="str">
        <x:v>Order History</x:v>
      </x:c>
      <x:c r="C115" s="33" t="str">
        <x:v>Đơn Failed hiển thị lý do và khoá thanh toán tiếp</x:v>
      </x:c>
      <x:c r="D115" s="34" t="str">
        <x:v>Business Rule</x:v>
      </x:c>
      <x:c r="E115" s="34" t="str">
        <x:v>Critical</x:v>
      </x:c>
      <x:c r="F115" s="33" t="str">
        <x:v>Backend đã xác nhận Order/payment Failed.</x:v>
      </x:c>
      <x:c r="G115" s="33" t="str">
        <x:v>1. Mở history.
2. Quan sát badge và các action.</x:v>
      </x:c>
      <x:c r="H115" s="33" t="str">
        <x:v>Có badge Failed/lý do; không có Continue payment/Cancel làm sống lại đơn.</x:v>
      </x:c>
      <x:c r="I115" s="33" t="str">
        <x:v>Chrome 1440x900 / 390x844</x:v>
      </x:c>
      <x:c r="J115" s="30" t="str">
        <x:v>Not Run</x:v>
      </x:c>
      <x:c r="K115" s="33"/>
      <x:c r="L115" s="33"/>
      <x:c r="M115" s="35"/>
      <x:c r="N115" s="33" t="str"/>
    </x:row>
    <x:row r="116" ht="48" hidden="0" customHeight="1">
      <x:c r="A116" s="28" t="str">
        <x:v>UI-111</x:v>
      </x:c>
      <x:c r="B116" s="29" t="str">
        <x:v>Order History</x:v>
      </x:c>
      <x:c r="C116" s="29" t="str">
        <x:v>Huỷ đơn đủ điều kiện và chống double-click</x:v>
      </x:c>
      <x:c r="D116" s="30" t="str">
        <x:v>Functional</x:v>
      </x:c>
      <x:c r="E116" s="30" t="str">
        <x:v>High</x:v>
      </x:c>
      <x:c r="F116" s="29" t="str">
        <x:v>Đơn COD In Progress có thể huỷ.</x:v>
      </x:c>
      <x:c r="G116" s="29" t="str">
        <x:v>1. Bấm Cancel và xác nhận.
2. Bấm lại nhanh.
3. Reload.</x:v>
      </x:c>
      <x:c r="H116" s="29" t="str">
        <x:v>Chỉ xử lý một lần; trạng thái Cancelled đúng; không hoàn stock/voucher hai lần.</x:v>
      </x:c>
      <x:c r="I116" s="29" t="str">
        <x:v>Chrome 1440x900 / 390x844</x:v>
      </x:c>
      <x:c r="J116" s="30" t="str">
        <x:v>Not Run</x:v>
      </x:c>
      <x:c r="K116" s="29"/>
      <x:c r="L116" s="29"/>
      <x:c r="M116" s="31"/>
      <x:c r="N116" s="29" t="str"/>
    </x:row>
    <x:row r="117" ht="48" hidden="0" customHeight="1">
      <x:c r="A117" s="32" t="str">
        <x:v>UI-112</x:v>
      </x:c>
      <x:c r="B117" s="33" t="str">
        <x:v>Order History</x:v>
      </x:c>
      <x:c r="C117" s="33" t="str">
        <x:v>Tracking URL không an toàn không được mở</x:v>
      </x:c>
      <x:c r="D117" s="34" t="str">
        <x:v>Security</x:v>
      </x:c>
      <x:c r="E117" s="34" t="str">
        <x:v>High</x:v>
      </x:c>
      <x:c r="F117" s="33" t="str">
        <x:v>Order mock có trackingUrl javascript: hoặc host không cho phép.</x:v>
      </x:c>
      <x:c r="G117" s="33" t="str">
        <x:v>1. Render history/detail.
2. Thử nút tracking.</x:v>
      </x:c>
      <x:c r="H117" s="33" t="str">
        <x:v>Không tạo link thực thi script/đi ngoài host an toàn; các thông tin đơn còn hiển thị.</x:v>
      </x:c>
      <x:c r="I117" s="33" t="str">
        <x:v>Chrome 1440x900 / 390x844</x:v>
      </x:c>
      <x:c r="J117" s="30" t="str">
        <x:v>Not Run</x:v>
      </x:c>
      <x:c r="K117" s="33"/>
      <x:c r="L117" s="33"/>
      <x:c r="M117" s="35"/>
      <x:c r="N117" s="33" t="str"/>
    </x:row>
    <x:row r="118" ht="48" hidden="0" customHeight="1">
      <x:c r="A118" s="28" t="str">
        <x:v>UI-113</x:v>
      </x:c>
      <x:c r="B118" s="29" t="str">
        <x:v>Chat AI</x:v>
      </x:c>
      <x:c r="C118" s="29" t="str">
        <x:v>Chưa đăng nhập hiện lối vào login</x:v>
      </x:c>
      <x:c r="D118" s="30" t="str">
        <x:v>Security</x:v>
      </x:c>
      <x:c r="E118" s="30" t="str">
        <x:v>High</x:v>
      </x:c>
      <x:c r="F118" s="29" t="str">
        <x:v>Không token.</x:v>
      </x:c>
      <x:c r="G118" s="29" t="str">
        <x:v>1. Mở chatbox.
2. Gửi một tin nhắn.</x:v>
      </x:c>
      <x:c r="H118" s="29" t="str">
        <x:v>Có hướng dẫn/liên kết login; không gửi request Gemini trái phép.</x:v>
      </x:c>
      <x:c r="I118" s="29" t="str">
        <x:v>Chrome 1440x900 / 390x844</x:v>
      </x:c>
      <x:c r="J118" s="30" t="str">
        <x:v>Not Run</x:v>
      </x:c>
      <x:c r="K118" s="29"/>
      <x:c r="L118" s="29"/>
      <x:c r="M118" s="31"/>
      <x:c r="N118" s="29" t="str"/>
    </x:row>
    <x:row r="119" ht="48" hidden="0" customHeight="1">
      <x:c r="A119" s="32" t="str">
        <x:v>UI-114</x:v>
      </x:c>
      <x:c r="B119" s="33" t="str">
        <x:v>Chat AI</x:v>
      </x:c>
      <x:c r="C119" s="33" t="str">
        <x:v>Gợi ý sản phẩm thành card có thể click</x:v>
      </x:c>
      <x:c r="D119" s="34" t="str">
        <x:v>Functional</x:v>
      </x:c>
      <x:c r="E119" s="34" t="str">
        <x:v>High</x:v>
      </x:c>
      <x:c r="F119" s="33" t="str">
        <x:v>Mock reply có sản phẩm hợp lệ từ catalog.</x:v>
      </x:c>
      <x:c r="G119" s="33" t="str">
        <x:v>1. Gửi yêu cầu gợi ý.
2. Quan sát card.
3. Bấm card.</x:v>
      </x:c>
      <x:c r="H119" s="33" t="str">
        <x:v>Card có ảnh/tên/giá thật; mở đúng detail; không chỉ hiện URL thô.</x:v>
      </x:c>
      <x:c r="I119" s="33" t="str">
        <x:v>Chrome 1440x900 / 390x844</x:v>
      </x:c>
      <x:c r="J119" s="30" t="str">
        <x:v>Not Run</x:v>
      </x:c>
      <x:c r="K119" s="33"/>
      <x:c r="L119" s="33"/>
      <x:c r="M119" s="35"/>
      <x:c r="N119" s="33" t="str"/>
    </x:row>
    <x:row r="120" ht="48" hidden="0" customHeight="1">
      <x:c r="A120" s="28" t="str">
        <x:v>UI-115</x:v>
      </x:c>
      <x:c r="B120" s="29" t="str">
        <x:v>Chat AI</x:v>
      </x:c>
      <x:c r="C120" s="29" t="str">
        <x:v>Ảnh card lỗi có fallback, link không mất</x:v>
      </x:c>
      <x:c r="D120" s="30" t="str">
        <x:v>Regression</x:v>
      </x:c>
      <x:c r="E120" s="30" t="str">
        <x:v>Medium</x:v>
      </x:c>
      <x:c r="F120" s="29" t="str">
        <x:v>Mock product card có URL ảnh không tải được.</x:v>
      </x:c>
      <x:c r="G120" s="29" t="str">
        <x:v>1. Render card.
2. Đợi image error.
3. Click card.</x:v>
      </x:c>
      <x:c r="H120" s="29" t="str">
        <x:v>Fallback hợp lệ; vẫn có tên/giá và đi đúng detail.</x:v>
      </x:c>
      <x:c r="I120" s="29" t="str">
        <x:v>Chrome 1440x900 / 390x844</x:v>
      </x:c>
      <x:c r="J120" s="30" t="str">
        <x:v>Not Run</x:v>
      </x:c>
      <x:c r="K120" s="29"/>
      <x:c r="L120" s="29"/>
      <x:c r="M120" s="31"/>
      <x:c r="N120" s="29" t="str"/>
    </x:row>
    <x:row r="121" ht="48" hidden="0" customHeight="1">
      <x:c r="A121" s="32" t="str">
        <x:v>UI-116</x:v>
      </x:c>
      <x:c r="B121" s="33" t="str">
        <x:v>Chat AI</x:v>
      </x:c>
      <x:c r="C121" s="33" t="str">
        <x:v>AI auth/quota/timeout khác với lỗi login</x:v>
      </x:c>
      <x:c r="D121" s="34" t="str">
        <x:v>Negative</x:v>
      </x:c>
      <x:c r="E121" s="34" t="str">
        <x:v>High</x:v>
      </x:c>
      <x:c r="F121" s="33" t="str">
        <x:v>Đã đăng nhập, API lần lượt trả lỗi AI_AUTHENTICATION_ERROR, AI_RATE_LIMITED, AI_TIMEOUT.</x:v>
      </x:c>
      <x:c r="G121" s="33" t="str">
        <x:v>1. Gửi cùng tin nhắn qua các fixture lỗi.
2. Retry sau khi phục hồi.</x:v>
      </x:c>
      <x:c r="H121" s="33" t="str">
        <x:v>Thông báo đúng loại lỗi, không bắt đăng nhập lại khi chỉ lỗi key AI; giữ draft và cho retry.</x:v>
      </x:c>
      <x:c r="I121" s="33" t="str">
        <x:v>Chrome 1440x900 / 390x844</x:v>
      </x:c>
      <x:c r="J121" s="30" t="str">
        <x:v>Not Run</x:v>
      </x:c>
      <x:c r="K121" s="33"/>
      <x:c r="L121" s="33"/>
      <x:c r="M121" s="35"/>
      <x:c r="N121" s="33" t="str"/>
    </x:row>
    <x:row r="122" ht="48" hidden="0" customHeight="1">
      <x:c r="A122" s="28" t="str">
        <x:v>UI-117</x:v>
      </x:c>
      <x:c r="B122" s="29" t="str">
        <x:v>Chat AI</x:v>
      </x:c>
      <x:c r="C122" s="29" t="str">
        <x:v>Đang gửi tin không tạo request trùng</x:v>
      </x:c>
      <x:c r="D122" s="30" t="str">
        <x:v>Concurrency</x:v>
      </x:c>
      <x:c r="E122" s="30" t="str">
        <x:v>High</x:v>
      </x:c>
      <x:c r="F122" s="29" t="str">
        <x:v>Response chat bị làm chậm.</x:v>
      </x:c>
      <x:c r="G122" s="29" t="str">
        <x:v>1. Bấm Send/Enter liên tục khi pending.</x:v>
      </x:c>
      <x:c r="H122" s="29" t="str">
        <x:v>Chỉ có một request và một bubble gửi cho thao tác hiện tại; bỏ loading khi kết thúc/lỗi.</x:v>
      </x:c>
      <x:c r="I122" s="29" t="str">
        <x:v>Chrome 1440x900 / 390x844</x:v>
      </x:c>
      <x:c r="J122" s="30" t="str">
        <x:v>Not Run</x:v>
      </x:c>
      <x:c r="K122" s="29"/>
      <x:c r="L122" s="29"/>
      <x:c r="M122" s="31"/>
      <x:c r="N122" s="29" t="str"/>
    </x:row>
    <x:row r="123" ht="48" hidden="0" customHeight="1">
      <x:c r="A123" s="32" t="str">
        <x:v>UI-118</x:v>
      </x:c>
      <x:c r="B123" s="33" t="str">
        <x:v>Chat AI</x:v>
      </x:c>
      <x:c r="C123" s="33" t="str">
        <x:v>Không thực thi HTML hoặc link lạ trong reply</x:v>
      </x:c>
      <x:c r="D123" s="34" t="str">
        <x:v>Security</x:v>
      </x:c>
      <x:c r="E123" s="34" t="str">
        <x:v>Critical</x:v>
      </x:c>
      <x:c r="F123" s="33" t="str">
        <x:v>Mock reply/card chứa script, đường dẫn ngoài hoặc javascript:.</x:v>
      </x:c>
      <x:c r="G123" s="33" t="str">
        <x:v>1. Render reply có payload độc hại.
2. Thử click các liên kết/card.</x:v>
      </x:c>
      <x:c r="H123" s="33" t="str">
        <x:v>Text được escape; không chạy script; card chỉ điều hướng đường dẫn product hợp lệ.</x:v>
      </x:c>
      <x:c r="I123" s="33" t="str">
        <x:v>Chrome 1440x900 / 390x844</x:v>
      </x:c>
      <x:c r="J123" s="30" t="str">
        <x:v>Not Run</x:v>
      </x:c>
      <x:c r="K123" s="33"/>
      <x:c r="L123" s="33"/>
      <x:c r="M123" s="35"/>
      <x:c r="N123" s="33" t="str"/>
    </x:row>
    <x:row r="124" ht="48" hidden="0" customHeight="1">
      <x:c r="A124" s="28" t="str">
        <x:v>UI-119</x:v>
      </x:c>
      <x:c r="B124" s="29" t="str">
        <x:v>Admin Dashboard</x:v>
      </x:c>
      <x:c r="C124" s="29" t="str">
        <x:v>KPI, chart, best sellers và đơn mới từ API</x:v>
      </x:c>
      <x:c r="D124" s="30" t="str">
        <x:v>Integration</x:v>
      </x:c>
      <x:c r="E124" s="30" t="str">
        <x:v>High</x:v>
      </x:c>
      <x:c r="F124" s="29" t="str">
        <x:v>Admin verified; có fixture DB biết trước.</x:v>
      </x:c>
      <x:c r="G124" s="29" t="str">
        <x:v>1. Mở dashboard.
2. So các KPI/chart/list với response API.</x:v>
      </x:c>
      <x:c r="H124" s="29" t="str">
        <x:v>Dữ liệu thật, tổng và ảnh best sellers đúng; không còn số mẫu hardcode.</x:v>
      </x:c>
      <x:c r="I124" s="29" t="str">
        <x:v>Chrome 1440x900 / 390x844</x:v>
      </x:c>
      <x:c r="J124" s="30" t="str">
        <x:v>Not Run</x:v>
      </x:c>
      <x:c r="K124" s="29"/>
      <x:c r="L124" s="29"/>
      <x:c r="M124" s="31"/>
      <x:c r="N124" s="29" t="str"/>
    </x:row>
    <x:row r="125" ht="48" hidden="0" customHeight="1">
      <x:c r="A125" s="32" t="str">
        <x:v>UI-120</x:v>
      </x:c>
      <x:c r="B125" s="33" t="str">
        <x:v>Admin Dashboard</x:v>
      </x:c>
      <x:c r="C125" s="33" t="str">
        <x:v>Kỳ lọc và empty/error có trạng thái rõ</x:v>
      </x:c>
      <x:c r="D125" s="34" t="str">
        <x:v>Negative</x:v>
      </x:c>
      <x:c r="E125" s="34" t="str">
        <x:v>Medium</x:v>
      </x:c>
      <x:c r="F125" s="33" t="str">
        <x:v>Có thể mock rỗng/lỗi API.</x:v>
      </x:c>
      <x:c r="G125" s="33" t="str">
        <x:v>1. Đổi kỳ báo cáo.
2. Thử dữ liệu rỗng và lỗi mạng.
3. Retry.</x:v>
      </x:c>
      <x:c r="H125" s="33" t="str">
        <x:v>Chart/list không giữ dữ liệu kỳ cũ; empty/error rõ, không dùng dữ liệu fake dự phòng.</x:v>
      </x:c>
      <x:c r="I125" s="33" t="str">
        <x:v>Chrome 1440x900 / 390x844</x:v>
      </x:c>
      <x:c r="J125" s="30" t="str">
        <x:v>Not Run</x:v>
      </x:c>
      <x:c r="K125" s="33"/>
      <x:c r="L125" s="33"/>
      <x:c r="M125" s="35"/>
      <x:c r="N125" s="33" t="str"/>
    </x:row>
    <x:row r="126" ht="54" hidden="0" customHeight="1">
      <x:c r="A126" s="28" t="str">
        <x:v>UI-121</x:v>
      </x:c>
      <x:c r="B126" s="29" t="str">
        <x:v>Admin Products</x:v>
      </x:c>
      <x:c r="C126" s="29" t="str">
        <x:v>Thêm sản phẩm bằng file upload và ba thông số</x:v>
      </x:c>
      <x:c r="D126" s="30" t="str">
        <x:v>Functional</x:v>
      </x:c>
      <x:c r="E126" s="30" t="str">
        <x:v>High</x:v>
      </x:c>
      <x:c r="F126" s="29" t="str">
        <x:v>Admin verified.</x:v>
      </x:c>
      <x:c r="G126" s="29" t="str">
        <x:v>1. Add New Product.
2. Nhập dữ liệu, cân nặng, hạn ngày, thành phần.
3. Chọn file ảnh và Save.</x:v>
      </x:c>
      <x:c r="H126" s="29" t="str">
        <x:v>Gửi multipart; product mới xuất hiện; detail user hiển thị đủ ba thông số và ảnh.</x:v>
      </x:c>
      <x:c r="I126" s="29" t="str">
        <x:v>Chrome 1440x900 / 390x844</x:v>
      </x:c>
      <x:c r="J126" s="30" t="str">
        <x:v>Not Run</x:v>
      </x:c>
      <x:c r="K126" s="29"/>
      <x:c r="L126" s="29"/>
      <x:c r="M126" s="31"/>
      <x:c r="N126" s="29" t="str"/>
    </x:row>
    <x:row r="127" ht="48" hidden="0" customHeight="1">
      <x:c r="A127" s="32" t="str">
        <x:v>UI-122</x:v>
      </x:c>
      <x:c r="B127" s="33" t="str">
        <x:v>Admin Products</x:v>
      </x:c>
      <x:c r="C127" s="33" t="str">
        <x:v>Form edit điền đúng thông số và gallery</x:v>
      </x:c>
      <x:c r="D127" s="34" t="str">
        <x:v>Regression</x:v>
      </x:c>
      <x:c r="E127" s="34" t="str">
        <x:v>High</x:v>
      </x:c>
      <x:c r="F127" s="33" t="str">
        <x:v>Product có weight/shelfLife/ingredients và nhiều ảnh.</x:v>
      </x:c>
      <x:c r="G127" s="33" t="str">
        <x:v>1. Bấm Edit.
2. Đổi ba thông số, không chọn file mới.
3. Save và mở lại.</x:v>
      </x:c>
      <x:c r="H127" s="33" t="str">
        <x:v>Điền đúng giá trị cũ; lưu thay đổi; giữ gallery, kể cả giá trị số 0 được điền đúng.</x:v>
      </x:c>
      <x:c r="I127" s="33" t="str">
        <x:v>Chrome 1440x900 / 390x844</x:v>
      </x:c>
      <x:c r="J127" s="30" t="str">
        <x:v>Not Run</x:v>
      </x:c>
      <x:c r="K127" s="33"/>
      <x:c r="L127" s="33"/>
      <x:c r="M127" s="35"/>
      <x:c r="N127" s="33" t="str"/>
    </x:row>
    <x:row r="128" ht="48" hidden="0" customHeight="1">
      <x:c r="A128" s="28" t="str">
        <x:v>UI-123</x:v>
      </x:c>
      <x:c r="B128" s="29" t="str">
        <x:v>Admin Products</x:v>
      </x:c>
      <x:c r="C128" s="29" t="str">
        <x:v>Xoá thông số rồi mở Add không dính dữ liệu cũ</x:v>
      </x:c>
      <x:c r="D128" s="30" t="str">
        <x:v>Regression</x:v>
      </x:c>
      <x:c r="E128" s="30" t="str">
        <x:v>Medium</x:v>
      </x:c>
      <x:c r="F128" s="29" t="str">
        <x:v>Đang Edit product có đủ thông số.</x:v>
      </x:c>
      <x:c r="G128" s="29" t="str">
        <x:v>1. Xoá ba trường và Save.
2. Mở lại Edit rồi Cancel.
3. Mở Add New Product.</x:v>
      </x:c>
      <x:c r="H128" s="29" t="str">
        <x:v>Server đã xoá dữ liệu; Add bắt đầu rỗng, không tái dùng thông số/ảnh vừa sửa.</x:v>
      </x:c>
      <x:c r="I128" s="29" t="str">
        <x:v>Chrome 1440x900 / 390x844</x:v>
      </x:c>
      <x:c r="J128" s="30" t="str">
        <x:v>Not Run</x:v>
      </x:c>
      <x:c r="K128" s="29"/>
      <x:c r="L128" s="29"/>
      <x:c r="M128" s="31"/>
      <x:c r="N128" s="29" t="str"/>
    </x:row>
    <x:row r="129" ht="48" hidden="0" customHeight="1">
      <x:c r="A129" s="32" t="str">
        <x:v>UI-124</x:v>
      </x:c>
      <x:c r="B129" s="33" t="str">
        <x:v>Admin Products</x:v>
      </x:c>
      <x:c r="C129" s="33" t="str">
        <x:v>Upload ảnh quá cỡ/sai loại/quá số lượng bị chặn</x:v>
      </x:c>
      <x:c r="D129" s="34" t="str">
        <x:v>Validation</x:v>
      </x:c>
      <x:c r="E129" s="34" t="str">
        <x:v>High</x:v>
      </x:c>
      <x:c r="F129" s="33" t="str">
        <x:v>Đang mở Add/Edit.</x:v>
      </x:c>
      <x:c r="G129" s="33" t="str">
        <x:v>1. Chọn 11 file, file &gt;5 MB hoặc PDF.
2. Thử Save.
3. Clear selection và chọn ảnh hợp lệ.</x:v>
      </x:c>
      <x:c r="H129" s="33" t="str">
        <x:v>Có lỗi cụ thể; không gửi request sai; Clear khôi phục gallery cũ khi Edit; chọn lại được.</x:v>
      </x:c>
      <x:c r="I129" s="33" t="str">
        <x:v>Chrome 1440x900 / 390x844</x:v>
      </x:c>
      <x:c r="J129" s="30" t="str">
        <x:v>Not Run</x:v>
      </x:c>
      <x:c r="K129" s="33"/>
      <x:c r="L129" s="33"/>
      <x:c r="M129" s="35"/>
      <x:c r="N129" s="33" t="str"/>
    </x:row>
    <x:row r="130" ht="48" hidden="0" customHeight="1">
      <x:c r="A130" s="28" t="str">
        <x:v>UI-125</x:v>
      </x:c>
      <x:c r="B130" s="29" t="str">
        <x:v>Admin Products</x:v>
      </x:c>
      <x:c r="C130" s="29" t="str">
        <x:v>Lỗi Save giữ form và chống gửi lặp</x:v>
      </x:c>
      <x:c r="D130" s="30" t="str">
        <x:v>Concurrency</x:v>
      </x:c>
      <x:c r="E130" s="30" t="str">
        <x:v>High</x:v>
      </x:c>
      <x:c r="F130" s="29" t="str">
        <x:v>Form hợp lệ có file ảnh.</x:v>
      </x:c>
      <x:c r="G130" s="29" t="str">
        <x:v>1. Giả lập Save chậm rồi fail.
2. Double-click Save/Cancel khi pending.
3. Retry.</x:v>
      </x:c>
      <x:c r="H130" s="29" t="str">
        <x:v>Một request, không đóng giữa chừng; lỗi giữ form/selection; retry sau khi kết thúc.</x:v>
      </x:c>
      <x:c r="I130" s="29" t="str">
        <x:v>Chrome 1440x900 / 390x844</x:v>
      </x:c>
      <x:c r="J130" s="30" t="str">
        <x:v>Not Run</x:v>
      </x:c>
      <x:c r="K130" s="29"/>
      <x:c r="L130" s="29"/>
      <x:c r="M130" s="31"/>
      <x:c r="N130" s="29" t="str"/>
    </x:row>
    <x:row r="131" ht="48" hidden="0" customHeight="1">
      <x:c r="A131" s="32" t="str">
        <x:v>UI-126</x:v>
      </x:c>
      <x:c r="B131" s="33" t="str">
        <x:v>Admin Products</x:v>
      </x:c>
      <x:c r="C131" s="33" t="str">
        <x:v>Quantity tồn kho không nhận số âm/lẻ</x:v>
      </x:c>
      <x:c r="D131" s="34" t="str">
        <x:v>Validation</x:v>
      </x:c>
      <x:c r="E131" s="34" t="str">
        <x:v>High</x:v>
      </x:c>
      <x:c r="F131" s="33" t="str">
        <x:v>Admin đang chỉnh product.</x:v>
      </x:c>
      <x:c r="G131" s="33" t="str">
        <x:v>1. Nhập stock âm hoặc 1.5.
2. Save.
3. Đổi về 0 và Save.</x:v>
      </x:c>
      <x:c r="H131" s="33" t="str">
        <x:v>Chặn giá trị sai; lưu 0 được; customer thấy hết hàng và không thể mua.</x:v>
      </x:c>
      <x:c r="I131" s="33" t="str">
        <x:v>Chrome 1440x900 / 390x844</x:v>
      </x:c>
      <x:c r="J131" s="30" t="str">
        <x:v>Not Run</x:v>
      </x:c>
      <x:c r="K131" s="33"/>
      <x:c r="L131" s="33"/>
      <x:c r="M131" s="35"/>
      <x:c r="N131" s="33" t="str"/>
    </x:row>
    <x:row r="132" ht="48" hidden="0" customHeight="1">
      <x:c r="A132" s="28" t="str">
        <x:v>UI-127</x:v>
      </x:c>
      <x:c r="B132" s="29" t="str">
        <x:v>Admin Products</x:v>
      </x:c>
      <x:c r="C132" s="29" t="str">
        <x:v>Form thêm/sửa không tràn màn hình</x:v>
      </x:c>
      <x:c r="D132" s="30" t="str">
        <x:v>Responsive</x:v>
      </x:c>
      <x:c r="E132" s="30" t="str">
        <x:v>Medium</x:v>
      </x:c>
      <x:c r="F132" s="29" t="str">
        <x:v>Mở modal ở desktop/mobile.</x:v>
      </x:c>
      <x:c r="G132" s="29" t="str">
        <x:v>1. Cuộn tới cuối form.
2. Dùng upload, ingredients và nút Save/Cancel.</x:v>
      </x:c>
      <x:c r="H132" s="29" t="str">
        <x:v>Modal cuộn được; nhãn/input/preview/nút không chồng lấn hoặc ra ngoài viewport.</x:v>
      </x:c>
      <x:c r="I132" s="29" t="str">
        <x:v>Chrome 1440x900 / 390x844</x:v>
      </x:c>
      <x:c r="J132" s="30" t="str">
        <x:v>Not Run</x:v>
      </x:c>
      <x:c r="K132" s="29"/>
      <x:c r="L132" s="29"/>
      <x:c r="M132" s="31"/>
      <x:c r="N132" s="29" t="str"/>
    </x:row>
    <x:row r="133" ht="48" hidden="0" customHeight="1">
      <x:c r="A133" s="32" t="str">
        <x:v>UI-128</x:v>
      </x:c>
      <x:c r="B133" s="33" t="str">
        <x:v>Admin Orders</x:v>
      </x:c>
      <x:c r="C133" s="33" t="str">
        <x:v>Search/status/tháng giữ bộ lọc khi phân trang</x:v>
      </x:c>
      <x:c r="D133" s="34" t="str">
        <x:v>Functional</x:v>
      </x:c>
      <x:c r="E133" s="34" t="str">
        <x:v>High</x:v>
      </x:c>
      <x:c r="F133" s="33" t="str">
        <x:v>Admin verified; có nhiều đơn.</x:v>
      </x:c>
      <x:c r="G133" s="33" t="str">
        <x:v>1. Nhập search.
2. Chọn status và month.
3. Sang trang và đổi nhanh bộ lọc.</x:v>
      </x:c>
      <x:c r="H133" s="33" t="str">
        <x:v>Query kết hợp đúng; response cũ không ghi đè query mới; số bản ghi và phân trang đúng.</x:v>
      </x:c>
      <x:c r="I133" s="33" t="str">
        <x:v>Chrome 1440x900 / 390x844</x:v>
      </x:c>
      <x:c r="J133" s="30" t="str">
        <x:v>Not Run</x:v>
      </x:c>
      <x:c r="K133" s="33"/>
      <x:c r="L133" s="33"/>
      <x:c r="M133" s="35"/>
      <x:c r="N133" s="33" t="str"/>
    </x:row>
    <x:row r="134" ht="48" hidden="0" customHeight="1">
      <x:c r="A134" s="28" t="str">
        <x:v>UI-129</x:v>
      </x:c>
      <x:c r="B134" s="29" t="str">
        <x:v>Admin Orders</x:v>
      </x:c>
      <x:c r="C134" s="29" t="str">
        <x:v>Lalamove không có control đổi trạng thái thủ công</x:v>
      </x:c>
      <x:c r="D134" s="30" t="str">
        <x:v>Business Rule</x:v>
      </x:c>
      <x:c r="E134" s="30" t="str">
        <x:v>Critical</x:v>
      </x:c>
      <x:c r="F134" s="29" t="str">
        <x:v>Mở detail đơn Lalamove.</x:v>
      </x:c>
      <x:c r="G134" s="29" t="str">
        <x:v>1. Quan sát action.
2. Dùng Refresh delivery và Track delivery.</x:v>
      </x:c>
      <x:c r="H134" s="29" t="str">
        <x:v>Không có selector pickup/status sửa tay; chỉ đọc/đồng bộ trạng thái provider an toàn.</x:v>
      </x:c>
      <x:c r="I134" s="29" t="str">
        <x:v>Chrome 1440x900 / 390x844</x:v>
      </x:c>
      <x:c r="J134" s="30" t="str">
        <x:v>Not Run</x:v>
      </x:c>
      <x:c r="K134" s="29"/>
      <x:c r="L134" s="29"/>
      <x:c r="M134" s="31"/>
      <x:c r="N134" s="29" t="str"/>
    </x:row>
    <x:row r="135" ht="48" hidden="0" customHeight="1">
      <x:c r="A135" s="32" t="str">
        <x:v>UI-130</x:v>
      </x:c>
      <x:c r="B135" s="33" t="str">
        <x:v>Admin Orders</x:v>
      </x:c>
      <x:c r="C135" s="33" t="str">
        <x:v>Pickup Ready gửi mail và thể hiện kết quả</x:v>
      </x:c>
      <x:c r="D135" s="34" t="str">
        <x:v>Integration</x:v>
      </x:c>
      <x:c r="E135" s="34" t="str">
        <x:v>High</x:v>
      </x:c>
      <x:c r="F135" s="33" t="str">
        <x:v>Đơn pickup PREPARING hợp lệ; SMTP test.</x:v>
      </x:c>
      <x:c r="G135" s="33" t="str">
        <x:v>1. Mở detail.
2. Chọn Ready for Pickup.
3. Chờ response và kiểm tra email.</x:v>
      </x:c>
      <x:c r="H135" s="33" t="str">
        <x:v>UI cập nhật Ready, hiển thị trạng thái gửi; email người dùng nhận có thông tin đơn/store.</x:v>
      </x:c>
      <x:c r="I135" s="33" t="str">
        <x:v>Chrome 1440x900 / 390x844</x:v>
      </x:c>
      <x:c r="J135" s="30" t="str">
        <x:v>Not Run</x:v>
      </x:c>
      <x:c r="K135" s="33"/>
      <x:c r="L135" s="33"/>
      <x:c r="M135" s="35"/>
      <x:c r="N135" s="33" t="str"/>
    </x:row>
    <x:row r="136" ht="48" hidden="0" customHeight="1">
      <x:c r="A136" s="28" t="str">
        <x:v>UI-131</x:v>
      </x:c>
      <x:c r="B136" s="29" t="str">
        <x:v>Admin Orders</x:v>
      </x:c>
      <x:c r="C136" s="29" t="str">
        <x:v>Collected COD yêu cầu checkbox thu tiền</x:v>
      </x:c>
      <x:c r="D136" s="30" t="str">
        <x:v>Validation</x:v>
      </x:c>
      <x:c r="E136" s="30" t="str">
        <x:v>Critical</x:v>
      </x:c>
      <x:c r="F136" s="29" t="str">
        <x:v>Pickup Ready, COD Pending.</x:v>
      </x:c>
      <x:c r="G136" s="29" t="str">
        <x:v>1. Chọn Collected nhưng chưa tick cash.
2. Tick xác nhận và Submit.</x:v>
      </x:c>
      <x:c r="H136" s="29" t="str">
        <x:v>Chưa xác nhận thì bị chặn; xác nhận xong thành Collected/Delivered/Paid.</x:v>
      </x:c>
      <x:c r="I136" s="29" t="str">
        <x:v>Chrome 1440x900 / 390x844</x:v>
      </x:c>
      <x:c r="J136" s="30" t="str">
        <x:v>Not Run</x:v>
      </x:c>
      <x:c r="K136" s="29"/>
      <x:c r="L136" s="29"/>
      <x:c r="M136" s="31"/>
      <x:c r="N136" s="29" t="str"/>
    </x:row>
    <x:row r="137" ht="48" hidden="0" customHeight="1">
      <x:c r="A137" s="32" t="str">
        <x:v>UI-132</x:v>
      </x:c>
      <x:c r="B137" s="33" t="str">
        <x:v>Admin Orders</x:v>
      </x:c>
      <x:c r="C137" s="33" t="str">
        <x:v>Online Pending/terminal/Express không có action pickup</x:v>
      </x:c>
      <x:c r="D137" s="34" t="str">
        <x:v>Business Rule</x:v>
      </x:c>
      <x:c r="E137" s="34" t="str">
        <x:v>Critical</x:v>
      </x:c>
      <x:c r="F137" s="33" t="str">
        <x:v>Có ba loại đơn tương ứng.</x:v>
      </x:c>
      <x:c r="G137" s="33" t="str">
        <x:v>1. Mở từng detail.
2. Quan sát action và nút update.</x:v>
      </x:c>
      <x:c r="H137" s="33" t="str">
        <x:v>Không cho chuyển trạng thái không hợp lệ; chỉ render action backend cho phép.</x:v>
      </x:c>
      <x:c r="I137" s="33" t="str">
        <x:v>Chrome 1440x900 / 390x844</x:v>
      </x:c>
      <x:c r="J137" s="30" t="str">
        <x:v>Not Run</x:v>
      </x:c>
      <x:c r="K137" s="33"/>
      <x:c r="L137" s="33"/>
      <x:c r="M137" s="35"/>
      <x:c r="N137" s="33" t="str"/>
    </x:row>
    <x:row r="138" ht="48" hidden="0" customHeight="1">
      <x:c r="A138" s="28" t="str">
        <x:v>UI-133</x:v>
      </x:c>
      <x:c r="B138" s="29" t="str">
        <x:v>Admin Orders</x:v>
      </x:c>
      <x:c r="C138" s="29" t="str">
        <x:v>Retry email không lùi/nhảy trạng thái</x:v>
      </x:c>
      <x:c r="D138" s="30" t="str">
        <x:v>Negative</x:v>
      </x:c>
      <x:c r="E138" s="30" t="str">
        <x:v>High</x:v>
      </x:c>
      <x:c r="F138" s="29" t="str">
        <x:v>Pickup Ready, email gửi lỗi.</x:v>
      </x:c>
      <x:c r="G138" s="29" t="str">
        <x:v>1. Quan sát thông báo.
2. Bấm Retry email sau khi SMTP test phục hồi.</x:v>
      </x:c>
      <x:c r="H138" s="29" t="str">
        <x:v>Gửi lại cùng Ready qua API; không trừ stock thêm; bỏ Retry khi mail Sent.</x:v>
      </x:c>
      <x:c r="I138" s="29" t="str">
        <x:v>Chrome 1440x900 / 390x844</x:v>
      </x:c>
      <x:c r="J138" s="30" t="str">
        <x:v>Not Run</x:v>
      </x:c>
      <x:c r="K138" s="29"/>
      <x:c r="L138" s="29"/>
      <x:c r="M138" s="31"/>
      <x:c r="N138" s="29" t="str"/>
    </x:row>
    <x:row r="139" ht="48" hidden="0" customHeight="1">
      <x:c r="A139" s="32" t="str">
        <x:v>UI-134</x:v>
      </x:c>
      <x:c r="B139" s="33" t="str">
        <x:v>Admin Orders</x:v>
      </x:c>
      <x:c r="C139" s="33" t="str">
        <x:v>Error/empty/retry không chèn đơn giả</x:v>
      </x:c>
      <x:c r="D139" s="34" t="str">
        <x:v>Negative</x:v>
      </x:c>
      <x:c r="E139" s="34" t="str">
        <x:v>Medium</x:v>
      </x:c>
      <x:c r="F139" s="33" t="str">
        <x:v>Mock danh sách rỗng hoặc API fail.</x:v>
      </x:c>
      <x:c r="G139" s="33" t="str">
        <x:v>1. Mở Orders.
2. Bấm Retry sau khi mạng phục hồi.</x:v>
      </x:c>
      <x:c r="H139" s="33" t="str">
        <x:v>Có thông báo đúng; không hiện dữ liệu mẫu; load lại hoạt động.</x:v>
      </x:c>
      <x:c r="I139" s="33" t="str">
        <x:v>Chrome 1440x900 / 390x844</x:v>
      </x:c>
      <x:c r="J139" s="30" t="str">
        <x:v>Not Run</x:v>
      </x:c>
      <x:c r="K139" s="33"/>
      <x:c r="L139" s="33"/>
      <x:c r="M139" s="35"/>
      <x:c r="N139" s="33" t="str"/>
    </x:row>
    <x:row r="140" ht="48" hidden="0" customHeight="1">
      <x:c r="A140" s="28" t="str">
        <x:v>UI-135</x:v>
      </x:c>
      <x:c r="B140" s="29" t="str">
        <x:v>Admin Customers</x:v>
      </x:c>
      <x:c r="C140" s="29" t="str">
        <x:v>Tìm/lọc, xem detail và khoá/mở customer</x:v>
      </x:c>
      <x:c r="D140" s="30" t="str">
        <x:v>Functional</x:v>
      </x:c>
      <x:c r="E140" s="30" t="str">
        <x:v>High</x:v>
      </x:c>
      <x:c r="F140" s="29" t="str">
        <x:v>Admin verified; có customer test.</x:v>
      </x:c>
      <x:c r="G140" s="29" t="str">
        <x:v>1. Tìm customer theo email.
2. Mở detail.
3. Khoá rồi mở tài khoản theo xác nhận.</x:v>
      </x:c>
      <x:c r="H140" s="29" t="str">
        <x:v>Thông tin/thống kê từ API; trạng thái cập nhật sau response; customer bị khoá không đăng nhập được.</x:v>
      </x:c>
      <x:c r="I140" s="29" t="str">
        <x:v>Chrome 1440x900 / 390x844</x:v>
      </x:c>
      <x:c r="J140" s="30" t="str">
        <x:v>Not Run</x:v>
      </x:c>
      <x:c r="K140" s="29"/>
      <x:c r="L140" s="29"/>
      <x:c r="M140" s="31"/>
      <x:c r="N140" s="29" t="str"/>
    </x:row>
    <x:row r="141" ht="48" hidden="0" customHeight="1">
      <x:c r="A141" s="32" t="str">
        <x:v>UI-136</x:v>
      </x:c>
      <x:c r="B141" s="33" t="str">
        <x:v>Admin Customers</x:v>
      </x:c>
      <x:c r="C141" s="33" t="str">
        <x:v>Không có thao tác tự khoá/admin khác</x:v>
      </x:c>
      <x:c r="D141" s="34" t="str">
        <x:v>Security</x:v>
      </x:c>
      <x:c r="E141" s="34" t="str">
        <x:v>High</x:v>
      </x:c>
      <x:c r="F141" s="33" t="str">
        <x:v>Admin đang xem chính mình và admin khác.</x:v>
      </x:c>
      <x:c r="G141" s="33" t="str">
        <x:v>1. Mở các detail tương ứng.
2. Quan sát/ thử đổi status nếu control có hiển thị.</x:v>
      </x:c>
      <x:c r="H141" s="33" t="str">
        <x:v>Không cho hoàn thành thao tác bị backend cấm; không thay trạng thái local giả.</x:v>
      </x:c>
      <x:c r="I141" s="33" t="str">
        <x:v>Chrome 1440x900 / 390x844</x:v>
      </x:c>
      <x:c r="J141" s="30" t="str">
        <x:v>Not Run</x:v>
      </x:c>
      <x:c r="K141" s="33"/>
      <x:c r="L141" s="33"/>
      <x:c r="M141" s="35"/>
      <x:c r="N141" s="33" t="str"/>
    </x:row>
    <x:row r="142" ht="54" hidden="0" customHeight="1">
      <x:c r="A142" s="28" t="str">
        <x:v>UI-137</x:v>
      </x:c>
      <x:c r="B142" s="29" t="str">
        <x:v>Admin Vouchers</x:v>
      </x:c>
      <x:c r="C142" s="29" t="str">
        <x:v>Tạo voucher cho user được chọn và có hạn</x:v>
      </x:c>
      <x:c r="D142" s="30" t="str">
        <x:v>Functional</x:v>
      </x:c>
      <x:c r="E142" s="30" t="str">
        <x:v>High</x:v>
      </x:c>
      <x:c r="F142" s="29" t="str">
        <x:v>Admin verified; customer test active.</x:v>
      </x:c>
      <x:c r="G142" s="29" t="str">
        <x:v>1. Tạo mã fixed 50.000/min 200.000.
2. Chọn recipient, nhập ngày hết hạn tương lai.
3. Save.</x:v>
      </x:c>
      <x:c r="H142" s="29" t="str">
        <x:v>Gửi đúng userIds, giá trị và expiry UTC; recipient nhận mã; user không chọn không nhận.</x:v>
      </x:c>
      <x:c r="I142" s="29" t="str">
        <x:v>Chrome 1440x900 / 390x844</x:v>
      </x:c>
      <x:c r="J142" s="30" t="str">
        <x:v>Not Run</x:v>
      </x:c>
      <x:c r="K142" s="29"/>
      <x:c r="L142" s="29"/>
      <x:c r="M142" s="31"/>
      <x:c r="N142" s="29" t="str"/>
    </x:row>
    <x:row r="143" ht="48" hidden="0" customHeight="1">
      <x:c r="A143" s="32" t="str">
        <x:v>UI-138</x:v>
      </x:c>
      <x:c r="B143" s="33" t="str">
        <x:v>Admin Vouchers</x:v>
      </x:c>
      <x:c r="C143" s="33" t="str">
        <x:v>Thiếu recipient và không bật auto bị chặn</x:v>
      </x:c>
      <x:c r="D143" s="34" t="str">
        <x:v>Validation</x:v>
      </x:c>
      <x:c r="E143" s="34" t="str">
        <x:v>High</x:v>
      </x:c>
      <x:c r="F143" s="33" t="str">
        <x:v>Form Create voucher.</x:v>
      </x:c>
      <x:c r="G143" s="33" t="str">
        <x:v>1. Bỏ mọi recipient; autoAssign=false.
2. Save.</x:v>
      </x:c>
      <x:c r="H143" s="33" t="str">
        <x:v>Hiện lỗi không có người nhận; không gửi create request.</x:v>
      </x:c>
      <x:c r="I143" s="33" t="str">
        <x:v>Chrome 1440x900 / 390x844</x:v>
      </x:c>
      <x:c r="J143" s="30" t="str">
        <x:v>Not Run</x:v>
      </x:c>
      <x:c r="K143" s="33"/>
      <x:c r="L143" s="33"/>
      <x:c r="M143" s="35"/>
      <x:c r="N143" s="33" t="str"/>
    </x:row>
    <x:row r="144" ht="48" hidden="0" customHeight="1">
      <x:c r="A144" s="28" t="str">
        <x:v>UI-139</x:v>
      </x:c>
      <x:c r="B144" s="29" t="str">
        <x:v>Admin Vouchers</x:v>
      </x:c>
      <x:c r="C144" s="29" t="str">
        <x:v>Chiến dịch auto cho tài khoản mới</x:v>
      </x:c>
      <x:c r="D144" s="30" t="str">
        <x:v>Business Rule</x:v>
      </x:c>
      <x:c r="E144" s="30" t="str">
        <x:v>High</x:v>
      </x:c>
      <x:c r="F144" s="29" t="str">
        <x:v>Admin tạo campaign, chưa chọn user cũ.</x:v>
      </x:c>
      <x:c r="G144" s="29" t="str">
        <x:v>1. Bật tự cấp khi đăng ký.
2. Nhập hạn dùng hợp lệ rồi Save.
3. Tạo account test mới.</x:v>
      </x:c>
      <x:c r="H144" s="29" t="str">
        <x:v>Cho tạo không cần recipient cũ; user mới nhận mã theo hiệu lực; user cũ không bị cấp hàng loạt.</x:v>
      </x:c>
      <x:c r="I144" s="29" t="str">
        <x:v>Chrome 1440x900 / 390x844</x:v>
      </x:c>
      <x:c r="J144" s="30" t="str">
        <x:v>Not Run</x:v>
      </x:c>
      <x:c r="K144" s="29"/>
      <x:c r="L144" s="29"/>
      <x:c r="M144" s="31"/>
      <x:c r="N144" s="29" t="str"/>
    </x:row>
    <x:row r="145" ht="48" hidden="0" customHeight="1">
      <x:c r="A145" s="32" t="str">
        <x:v>UI-140</x:v>
      </x:c>
      <x:c r="B145" s="33" t="str">
        <x:v>Admin Vouchers</x:v>
      </x:c>
      <x:c r="C145" s="33" t="str">
        <x:v>Enable/Disable cạnh Delete, không có sửa tổng quát</x:v>
      </x:c>
      <x:c r="D145" s="34" t="str">
        <x:v>Visual</x:v>
      </x:c>
      <x:c r="E145" s="34" t="str">
        <x:v>High</x:v>
      </x:c>
      <x:c r="F145" s="33" t="str">
        <x:v>Danh sách có mã active/inactive hợp lệ.</x:v>
      </x:c>
      <x:c r="G145" s="33" t="str">
        <x:v>1. Quan sát actions.
2. Bấm Disable rồi Enable.</x:v>
      </x:c>
      <x:c r="H145" s="33" t="str">
        <x:v>Nút nằm cạnh Delete; chỉ cập nhật active sau API thành công; không tự sửa value/expiry/owner.</x:v>
      </x:c>
      <x:c r="I145" s="33" t="str">
        <x:v>Chrome 1440x900 / 390x844</x:v>
      </x:c>
      <x:c r="J145" s="30" t="str">
        <x:v>Not Run</x:v>
      </x:c>
      <x:c r="K145" s="33"/>
      <x:c r="L145" s="33"/>
      <x:c r="M145" s="35"/>
      <x:c r="N145" s="33" t="str"/>
    </x:row>
    <x:row r="146" ht="48" hidden="0" customHeight="1">
      <x:c r="A146" s="28" t="str">
        <x:v>UI-141</x:v>
      </x:c>
      <x:c r="B146" s="29" t="str">
        <x:v>Admin Vouchers</x:v>
      </x:c>
      <x:c r="C146" s="29" t="str">
        <x:v>Upcoming/Expired/Exhausted có status và khoá enable đúng</x:v>
      </x:c>
      <x:c r="D146" s="30" t="str">
        <x:v>Boundary</x:v>
      </x:c>
      <x:c r="E146" s="30" t="str">
        <x:v>High</x:v>
      </x:c>
      <x:c r="F146" s="29" t="str">
        <x:v>Có các mã ở từng trạng thái ngày/lượt.</x:v>
      </x:c>
      <x:c r="G146" s="29" t="str">
        <x:v>1. Xem trạng thái/tooltip.
2. Thử enable mã không dùng được.</x:v>
      </x:c>
      <x:c r="H146" s="29" t="str">
        <x:v>Không gom sai tất cả thành Inactive; không enable mã hết hạn/hết lượt/thiếu hạn.</x:v>
      </x:c>
      <x:c r="I146" s="29" t="str">
        <x:v>Chrome 1440x900 / 390x844</x:v>
      </x:c>
      <x:c r="J146" s="30" t="str">
        <x:v>Not Run</x:v>
      </x:c>
      <x:c r="K146" s="29"/>
      <x:c r="L146" s="29"/>
      <x:c r="M146" s="31"/>
      <x:c r="N146" s="29" t="str"/>
    </x:row>
    <x:row r="147" ht="48" hidden="0" customHeight="1">
      <x:c r="A147" s="32" t="str">
        <x:v>UI-142</x:v>
      </x:c>
      <x:c r="B147" s="33" t="str">
        <x:v>Admin Vouchers</x:v>
      </x:c>
      <x:c r="C147" s="33" t="str">
        <x:v>Xoá cần xác nhận và cập nhật số sở hữu</x:v>
      </x:c>
      <x:c r="D147" s="34" t="str">
        <x:v>Functional</x:v>
      </x:c>
      <x:c r="E147" s="34" t="str">
        <x:v>High</x:v>
      </x:c>
      <x:c r="F147" s="33" t="str">
        <x:v>Mã được cấp cho customer test.</x:v>
      </x:c>
      <x:c r="G147" s="33" t="str">
        <x:v>1. Bấm Delete rồi Cancel.
2. Bấm lại và Confirm.
3. Xem voucher của customer.</x:v>
      </x:c>
      <x:c r="H147" s="33" t="str">
        <x:v>Cancel không gọi DELETE; Confirm xoá/thu hồi đúng mã; count cập nhật từ server.</x:v>
      </x:c>
      <x:c r="I147" s="33" t="str">
        <x:v>Chrome 1440x900 / 390x844</x:v>
      </x:c>
      <x:c r="J147" s="30" t="str">
        <x:v>Not Run</x:v>
      </x:c>
      <x:c r="K147" s="33"/>
      <x:c r="L147" s="33"/>
      <x:c r="M147" s="35"/>
      <x:c r="N147" s="33" t="str"/>
    </x:row>
    <x:row r="148" ht="48" hidden="0" customHeight="1">
      <x:c r="A148" s="28" t="str">
        <x:v>UI-143</x:v>
      </x:c>
      <x:c r="B148" s="29" t="str">
        <x:v>Admin Vouchers</x:v>
      </x:c>
      <x:c r="C148" s="29" t="str">
        <x:v>Lỗi đổi status giữ trạng thái cũ và cho retry</x:v>
      </x:c>
      <x:c r="D148" s="30" t="str">
        <x:v>Negative</x:v>
      </x:c>
      <x:c r="E148" s="30" t="str">
        <x:v>Medium</x:v>
      </x:c>
      <x:c r="F148" s="29" t="str">
        <x:v>Mock PATCH status fail/chậm.</x:v>
      </x:c>
      <x:c r="G148" s="29" t="str">
        <x:v>1. Bấm Enable/Disable nhiều lần.
2. Đợi lỗi rồi retry.</x:v>
      </x:c>
      <x:c r="H148" s="29" t="str">
        <x:v>Một request khi pending; không đổi nhãn trước xác nhận; lỗi giữ state cũ, cho thử lại.</x:v>
      </x:c>
      <x:c r="I148" s="29" t="str">
        <x:v>Chrome 1440x900 / 390x844</x:v>
      </x:c>
      <x:c r="J148" s="30" t="str">
        <x:v>Not Run</x:v>
      </x:c>
      <x:c r="K148" s="29"/>
      <x:c r="L148" s="29"/>
      <x:c r="M148" s="31"/>
      <x:c r="N148" s="29" t="str"/>
    </x:row>
    <x:row r="149" ht="48" hidden="0" customHeight="1">
      <x:c r="A149" s="32" t="str">
        <x:v>UI-144</x:v>
      </x:c>
      <x:c r="B149" s="33" t="str">
        <x:v>Admin Special Orders</x:v>
      </x:c>
      <x:c r="C149" s="33" t="str">
        <x:v>Lọc/xem/sửa trạng thái và ghi chú yêu cầu</x:v>
      </x:c>
      <x:c r="D149" s="34" t="str">
        <x:v>Functional</x:v>
      </x:c>
      <x:c r="E149" s="34" t="str">
        <x:v>High</x:v>
      </x:c>
      <x:c r="F149" s="33" t="str">
        <x:v>Có yêu cầu thật từ form khách; admin verified.</x:v>
      </x:c>
      <x:c r="G149" s="33" t="str">
        <x:v>1. Tìm theo tên/mã.
2. Lọc Pending.
3. Mở detail, đổi status và note rồi Save.</x:v>
      </x:c>
      <x:c r="H149" s="33" t="str">
        <x:v>Danh sách/detail đúng bản ghi; cập nhật tồn tại sau reload; không tự biến thành Order thanh toán.</x:v>
      </x:c>
      <x:c r="I149" s="33" t="str">
        <x:v>Chrome 1440x900 / 390x844</x:v>
      </x:c>
      <x:c r="J149" s="30" t="str">
        <x:v>Not Run</x:v>
      </x:c>
      <x:c r="K149" s="33"/>
      <x:c r="L149" s="33"/>
      <x:c r="M149" s="35"/>
      <x:c r="N149" s="33" t="str"/>
    </x:row>
    <x:row r="150" ht="48" hidden="0" customHeight="1">
      <x:c r="A150" s="28" t="str">
        <x:v>UI-145</x:v>
      </x:c>
      <x:c r="B150" s="29" t="str">
        <x:v>Admin Special Orders</x:v>
      </x:c>
      <x:c r="C150" s="29" t="str">
        <x:v>Lỗi submit giữ status/note đang nhập</x:v>
      </x:c>
      <x:c r="D150" s="30" t="str">
        <x:v>Negative</x:v>
      </x:c>
      <x:c r="E150" s="30" t="str">
        <x:v>Medium</x:v>
      </x:c>
      <x:c r="F150" s="29" t="str">
        <x:v>Đang sửa yêu cầu; mock PATCH fail.</x:v>
      </x:c>
      <x:c r="G150" s="29" t="str">
        <x:v>1. Save khi mạng lỗi.
2. Kiểm tra note/status form.
3. Retry.</x:v>
      </x:c>
      <x:c r="H150" s="29" t="str">
        <x:v>Không mất dữ liệu người nhập; báo lỗi rõ; không hiển thị cập nhật thành công giả.</x:v>
      </x:c>
      <x:c r="I150" s="29" t="str">
        <x:v>Chrome 1440x900 / 390x844</x:v>
      </x:c>
      <x:c r="J150" s="30" t="str">
        <x:v>Not Run</x:v>
      </x:c>
      <x:c r="K150" s="29"/>
      <x:c r="L150" s="29"/>
      <x:c r="M150" s="31"/>
      <x:c r="N150" s="29" t="str"/>
    </x:row>
    <x:row r="151" ht="48" hidden="0" customHeight="1">
      <x:c r="A151" s="32" t="str">
        <x:v>UI-146</x:v>
      </x:c>
      <x:c r="B151" s="33" t="str">
        <x:v>Responsive</x:v>
      </x:c>
      <x:c r="C151" s="33" t="str">
        <x:v>Checkout, order history và admin table trên mobile</x:v>
      </x:c>
      <x:c r="D151" s="34" t="str">
        <x:v>Responsive</x:v>
      </x:c>
      <x:c r="E151" s="34" t="str">
        <x:v>Medium</x:v>
      </x:c>
      <x:c r="F151" s="33" t="str">
        <x:v>Dữ liệu có tên/địa chỉ/thành phần dài.</x:v>
      </x:c>
      <x:c r="G151" s="33" t="str">
        <x:v>1. Mở các màn ở 390x844.
2. Cuộn modal/bảng.
3. Dùng summary và nút chính.</x:v>
      </x:c>
      <x:c r="H151" s="33" t="str">
        <x:v>Không chồng chữ/nút; bảng cuộn trong vùng riêng; tổng tiền và action không bị cắt.</x:v>
      </x:c>
      <x:c r="I151" s="33" t="str">
        <x:v>Chrome 1440x900 / 390x844</x:v>
      </x:c>
      <x:c r="J151" s="30" t="str">
        <x:v>Not Run</x:v>
      </x:c>
      <x:c r="K151" s="33"/>
      <x:c r="L151" s="33"/>
      <x:c r="M151" s="35"/>
      <x:c r="N151" s="33" t="str"/>
    </x:row>
    <x:row r="152" ht="48" hidden="0" customHeight="1">
      <x:c r="A152" s="28" t="str">
        <x:v>UI-147</x:v>
      </x:c>
      <x:c r="B152" s="29" t="str">
        <x:v>Accessibility</x:v>
      </x:c>
      <x:c r="C152" s="29" t="str">
        <x:v>Bàn phím dùng được filter, modal và review upload</x:v>
      </x:c>
      <x:c r="D152" s="30" t="str">
        <x:v>Accessibility</x:v>
      </x:c>
      <x:c r="E152" s="30" t="str">
        <x:v>Medium</x:v>
      </x:c>
      <x:c r="F152" s="29" t="str">
        <x:v>Mở Products và một modal admin/review đủ quyền.</x:v>
      </x:c>
      <x:c r="G152" s="29" t="str">
        <x:v>1. Dùng Tab/Shift+Tab/Enter.
2. Kiểm tra label/focus trên input mới.</x:v>
      </x:c>
      <x:c r="H152" s="29" t="str">
        <x:v>Focus nhìn thấy; thứ tự hợp lý; label cân nặng/hạn dùng/thành phần gắn đúng input; thao tác chính dùng được.</x:v>
      </x:c>
      <x:c r="I152" s="29" t="str">
        <x:v>Chrome 1440x900 / 390x844</x:v>
      </x:c>
      <x:c r="J152" s="30" t="str">
        <x:v>Not Run</x:v>
      </x:c>
      <x:c r="K152" s="29"/>
      <x:c r="L152" s="29"/>
      <x:c r="M152" s="31"/>
      <x:c r="N152" s="29" t="str"/>
    </x:row>
    <x:row r="153" ht="48" hidden="0" customHeight="1">
      <x:c r="A153" s="32" t="str">
        <x:v>UI-148</x:v>
      </x:c>
      <x:c r="B153" s="33" t="str">
        <x:v>Shared Header</x:v>
      </x:c>
      <x:c r="C153" s="33" t="str">
        <x:v>Avatar chỉ mở menu, không điều hướng khi click</x:v>
      </x:c>
      <x:c r="D153" s="34" t="str">
        <x:v>Regression</x:v>
      </x:c>
      <x:c r="E153" s="34" t="str">
        <x:v>Medium</x:v>
      </x:c>
      <x:c r="F153" s="33" t="str">
        <x:v>Đã đăng nhập; đang ở Home.</x:v>
      </x:c>
      <x:c r="G153" s="33" t="str">
        <x:v>1. Hover avatar.
2. Click avatar rồi chọn Profile trong menu.</x:v>
      </x:c>
      <x:c r="H153" s="33" t="str">
        <x:v>Click avatar không tự nhảy /profile; điều hướng Profile chỉ qua item menu.</x:v>
      </x:c>
      <x:c r="I153" s="33" t="str">
        <x:v>Chrome 1440x900 / 390x844</x:v>
      </x:c>
      <x:c r="J153" s="30" t="str">
        <x:v>Not Run</x:v>
      </x:c>
      <x:c r="K153" s="33"/>
      <x:c r="L153" s="33"/>
      <x:c r="M153" s="35"/>
      <x:c r="N153" s="33" t="str"/>
    </x:row>
    <x:row r="154" ht="48" hidden="0" customHeight="1">
      <x:c r="A154" s="28" t="str">
        <x:v>UI-149</x:v>
      </x:c>
      <x:c r="B154" s="29" t="str">
        <x:v>Shared Header</x:v>
      </x:c>
      <x:c r="C154" s="29" t="str">
        <x:v>Hover từng item không giữ highlight cố định</x:v>
      </x:c>
      <x:c r="D154" s="30" t="str">
        <x:v>Visual</x:v>
      </x:c>
      <x:c r="E154" s="30" t="str">
        <x:v>Medium</x:v>
      </x:c>
      <x:c r="F154" s="29" t="str">
        <x:v>Menu profile đang mở.</x:v>
      </x:c>
      <x:c r="G154" s="29" t="str">
        <x:v>1. Di chuột lần lượt Profile, Order History, Cart và Settings.
2. Di ra ngoài item.</x:v>
      </x:c>
      <x:c r="H154" s="29" t="str">
        <x:v>Màu hover đi theo mục đang trỏ; icon dùng asset của project; không cố định item Profile hoặc Order History.</x:v>
      </x:c>
      <x:c r="I154" s="29" t="str">
        <x:v>Chrome 1440x900 / 390x844</x:v>
      </x:c>
      <x:c r="J154" s="30" t="str">
        <x:v>Not Run</x:v>
      </x:c>
      <x:c r="K154" s="29"/>
      <x:c r="L154" s="29"/>
      <x:c r="M154" s="31"/>
      <x:c r="N154" s="29" t="str"/>
    </x:row>
    <x:row r="155" ht="48" hidden="0" customHeight="1">
      <x:c r="A155" s="32" t="str">
        <x:v>UI-150</x:v>
      </x:c>
      <x:c r="B155" s="33" t="str">
        <x:v>Checkout</x:v>
      </x:c>
      <x:c r="C155" s="33" t="str">
        <x:v>Refresh thanh toán dùng lại order và session đã lưu</x:v>
      </x:c>
      <x:c r="D155" s="34" t="str">
        <x:v>Regression</x:v>
      </x:c>
      <x:c r="E155" s="34" t="str">
        <x:v>Critical</x:v>
      </x:c>
      <x:c r="F155" s="33" t="str">
        <x:v>Có order Visa Pending đã mở session sandbox.</x:v>
      </x:c>
      <x:c r="G155" s="33" t="str">
        <x:v>1. Reload/return về checkout cùng order ID.
2. Bấm Refresh payment.
3. So request Network.</x:v>
      </x:c>
      <x:c r="H155" s="33" t="str">
        <x:v>Dùng endpoint status đúng Visa; không tự tạo session/Order/charge mới khi chỉ kiểm tra trạng thái.</x:v>
      </x:c>
      <x:c r="I155" s="33" t="str">
        <x:v>Chrome 1440x900 / 390x844</x:v>
      </x:c>
      <x:c r="J155" s="30" t="str">
        <x:v>Not Run</x:v>
      </x:c>
      <x:c r="K155" s="33"/>
      <x:c r="L155" s="33"/>
      <x:c r="M155" s="35"/>
      <x:c r="N155" s="33" t="str"/>
    </x:row>
    <x:row r="156" ht="48" hidden="0" customHeight="1">
      <x:c r="A156" s="28" t="str">
        <x:v>UI-151</x:v>
      </x:c>
      <x:c r="B156" s="29" t="str">
        <x:v>Order History</x:v>
      </x:c>
      <x:c r="C156" s="29" t="str">
        <x:v>Pickup Ready/Collected đồng bộ sau admin cập nhật</x:v>
      </x:c>
      <x:c r="D156" s="30" t="str">
        <x:v>Integration</x:v>
      </x:c>
      <x:c r="E156" s="30" t="str">
        <x:v>High</x:v>
      </x:c>
      <x:c r="F156" s="29" t="str">
        <x:v>Có đơn pickup của user; admin test có quyền update.</x:v>
      </x:c>
      <x:c r="G156" s="29" t="str">
        <x:v>1. User mở history.
2. Admin chuyển Ready rồi Collected hợp lệ.
3. User reload.</x:v>
      </x:c>
      <x:c r="H156" s="29" t="str">
        <x:v>Hiển thị Ready for Pickup rồi Collected/Delivered đúng trạng thái đã lưu; không hiển thị như đang giao Lalamove.</x:v>
      </x:c>
      <x:c r="I156" s="29" t="str">
        <x:v>Chrome 1440x900 / 390x844</x:v>
      </x:c>
      <x:c r="J156" s="30" t="str">
        <x:v>Not Run</x:v>
      </x:c>
      <x:c r="K156" s="29"/>
      <x:c r="L156" s="29"/>
      <x:c r="M156" s="31"/>
      <x:c r="N156" s="29" t="str"/>
    </x:row>
  </x:sheetData>
  <x:conditionalFormatting sqref="J6:J57">
    <x:cfRule type="containsText" dxfId="6" priority="1" operator="containsText" text="Passed"/>
    <x:cfRule type="containsText" dxfId="5" priority="2" operator="containsText" text="Failed"/>
    <x:cfRule type="containsText" dxfId="4" priority="3" operator="containsText" text="Blocked"/>
    <x:cfRule type="containsText" dxfId="3" priority="4" operator="containsText" text="In Progress"/>
    <x:cfRule type="containsText" dxfId="2" priority="5" operator="containsText" text="Not Run"/>
  </x:conditionalFormatting>
  <x:conditionalFormatting sqref="E6:E57">
    <x:cfRule type="containsText" dxfId="1" priority="6" operator="containsText" text="Critical"/>
    <x:cfRule type="containsText" dxfId="0" priority="7" operator="containsText" text="High"/>
  </x:conditionalFormatting>
  <x:conditionalFormatting sqref="J58:J156">
    <x:cfRule type="expression" dxfId="24" priority="8">
      <x:formula>$J58="Passed"</x:formula>
    </x:cfRule>
    <x:cfRule type="expression" dxfId="25" priority="9">
      <x:formula>$J58="Failed"</x:formula>
    </x:cfRule>
    <x:cfRule type="expression" dxfId="26" priority="10">
      <x:formula>$J58="Blocked"</x:formula>
    </x:cfRule>
    <x:cfRule type="expression" dxfId="27" priority="11">
      <x:formula>$J58="In Progress"</x:formula>
    </x:cfRule>
    <x:cfRule type="expression" dxfId="28" priority="12">
      <x:formula>$J58="Not Run"</x:formula>
    </x:cfRule>
  </x:conditionalFormatting>
  <x:conditionalFormatting sqref="E58:E156">
    <x:cfRule type="expression" dxfId="29" priority="13">
      <x:formula>$E58="Critical"</x:formula>
    </x:cfRule>
    <x:cfRule type="expression" dxfId="30" priority="14">
      <x:formula>$E58="High"</x:formula>
    </x:cfRule>
  </x:conditionalFormatting>
  <x:dataValidations count="4">
    <x:dataValidation type="list" sqref="J6:J57">
      <x:formula1>"Not Run,In Progress,Passed,Failed,Blocked,N/A"</x:formula1>
    </x:dataValidation>
    <x:dataValidation type="list" sqref="E6:E57">
      <x:formula1>"Critical,High,Medium,Low"</x:formula1>
    </x:dataValidation>
    <x:dataValidation type="list" sqref="J58:J156">
      <x:formula1>"Not Run,In Progress,Passed,Failed,Blocked,N/A"</x:formula1>
    </x:dataValidation>
    <x:dataValidation type="list" sqref="E58:E156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74f4e03a284246"/>
  </x:tableParts>
</x:worksheet>
</file>